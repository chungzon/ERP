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ERPPro\ERP\template\"/>
    </mc:Choice>
  </mc:AlternateContent>
  <bookViews>
    <workbookView xWindow="16170" yWindow="225" windowWidth="13965" windowHeight="11085"/>
  </bookViews>
  <sheets>
    <sheet name="協新" sheetId="1" r:id="rId1"/>
  </sheets>
  <definedNames>
    <definedName name="_xlnm.Print_Area" localSheetId="0">協新!$A$1:$J$53</definedName>
  </definedNames>
  <calcPr calcId="152511"/>
</workbook>
</file>

<file path=xl/calcChain.xml><?xml version="1.0" encoding="utf-8"?>
<calcChain xmlns="http://schemas.openxmlformats.org/spreadsheetml/2006/main">
  <c r="L34" i="1" l="1"/>
  <c r="L29" i="1" l="1"/>
  <c r="L30" i="1" s="1"/>
  <c r="L31" i="1" s="1"/>
  <c r="G5" i="1"/>
  <c r="B29" i="1"/>
  <c r="B30" i="1" s="1"/>
  <c r="B31" i="1" l="1"/>
  <c r="L32" i="1" s="1"/>
</calcChain>
</file>

<file path=xl/sharedStrings.xml><?xml version="1.0" encoding="utf-8"?>
<sst xmlns="http://schemas.openxmlformats.org/spreadsheetml/2006/main" count="35" uniqueCount="35">
  <si>
    <t>客戶名稱</t>
  </si>
  <si>
    <t xml:space="preserve">  </t>
  </si>
  <si>
    <t>數量</t>
  </si>
  <si>
    <t>單價</t>
  </si>
  <si>
    <t>備註</t>
  </si>
  <si>
    <t>本單付款方式</t>
  </si>
  <si>
    <t>元整</t>
  </si>
  <si>
    <t>電　　話</t>
    <phoneticPr fontId="5" type="noConversion"/>
  </si>
  <si>
    <t>地　　址</t>
    <phoneticPr fontId="5" type="noConversion"/>
  </si>
  <si>
    <t>訂　　金</t>
    <phoneticPr fontId="5" type="noConversion"/>
  </si>
  <si>
    <t>估價單</t>
    <phoneticPr fontId="5" type="noConversion"/>
  </si>
  <si>
    <t>單位</t>
    <phoneticPr fontId="5" type="noConversion"/>
  </si>
  <si>
    <t>總價</t>
    <phoneticPr fontId="5" type="noConversion"/>
  </si>
  <si>
    <r>
      <t xml:space="preserve"> </t>
    </r>
    <r>
      <rPr>
        <sz val="14"/>
        <rFont val="標楷體"/>
        <family val="4"/>
        <charset val="136"/>
      </rPr>
      <t>□現金</t>
    </r>
    <phoneticPr fontId="5" type="noConversion"/>
  </si>
  <si>
    <t>合　　　計：</t>
    <phoneticPr fontId="5" type="noConversion"/>
  </si>
  <si>
    <t>填 表 人</t>
    <phoneticPr fontId="5" type="noConversion"/>
  </si>
  <si>
    <t>含稅</t>
    <phoneticPr fontId="5" type="noConversion"/>
  </si>
  <si>
    <t>聯絡人</t>
    <phoneticPr fontId="5" type="noConversion"/>
  </si>
  <si>
    <t>統編</t>
    <phoneticPr fontId="5" type="noConversion"/>
  </si>
  <si>
    <t>估價日期</t>
    <phoneticPr fontId="5" type="noConversion"/>
  </si>
  <si>
    <t>總　　　計：</t>
    <phoneticPr fontId="5" type="noConversion"/>
  </si>
  <si>
    <t>稅　　　額：</t>
    <phoneticPr fontId="5" type="noConversion"/>
  </si>
  <si>
    <t>未稅</t>
    <phoneticPr fontId="5" type="noConversion"/>
  </si>
  <si>
    <t>備  註  欄</t>
    <phoneticPr fontId="5" type="noConversion"/>
  </si>
  <si>
    <t>行動電話</t>
    <phoneticPr fontId="5" type="noConversion"/>
  </si>
  <si>
    <t>國立高雄師範大學</t>
    <phoneticPr fontId="5" type="noConversion"/>
  </si>
  <si>
    <t>台</t>
  </si>
  <si>
    <r>
      <t>新台幣： 零　拾　玖　萬　壹　仟　捌　佰　肆　拾　玖　元整</t>
    </r>
    <r>
      <rPr>
        <sz val="14"/>
        <rFont val="Arial"/>
        <family val="2"/>
      </rPr>
      <t xml:space="preserve">  </t>
    </r>
    <phoneticPr fontId="5" type="noConversion"/>
  </si>
  <si>
    <t>Batch price</t>
    <phoneticPr fontId="5" type="noConversion"/>
  </si>
  <si>
    <t>BP小計</t>
    <phoneticPr fontId="5" type="noConversion"/>
  </si>
  <si>
    <t>品名/規格</t>
    <phoneticPr fontId="5" type="noConversion"/>
  </si>
  <si>
    <t>AVR8816A-32路監控主機(DVR3254LX)</t>
    <phoneticPr fontId="5" type="noConversion"/>
  </si>
  <si>
    <t>以下空白</t>
    <phoneticPr fontId="5" type="noConversion"/>
  </si>
  <si>
    <t>利潤(含稅)</t>
    <phoneticPr fontId="5" type="noConversion"/>
  </si>
  <si>
    <t>利潤(未稅)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</si>
</sst>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yyyy&quot;年&quot;m&quot;月&quot;d&quot;日&quot;;@"/>
    <numFmt numFmtId="177" formatCode="&quot;$&quot;#,##0"/>
    <numFmt numFmtId="178" formatCode="&quot;$&quot;#,##0_);[Red]\(&quot;$&quot;#,##0\)"/>
    <numFmt numFmtId="179" formatCode="000"/>
    <numFmt numFmtId="180" formatCode="&quot;$&quot;#,##0.0_);[Red]\(&quot;$&quot;#,##0.0\)"/>
  </numFmts>
  <fonts count="2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4"/>
      <name val="Arial"/>
      <family val="2"/>
    </font>
    <font>
      <sz val="22"/>
      <name val="Arial"/>
      <family val="2"/>
    </font>
    <font>
      <sz val="12"/>
      <name val="Arial"/>
      <family val="2"/>
    </font>
    <font>
      <sz val="9"/>
      <name val="新細明體"/>
      <family val="1"/>
      <charset val="136"/>
    </font>
    <font>
      <sz val="22"/>
      <name val="標楷體"/>
      <family val="4"/>
      <charset val="136"/>
    </font>
    <font>
      <sz val="14"/>
      <name val="標楷體"/>
      <family val="4"/>
      <charset val="136"/>
    </font>
    <font>
      <sz val="14"/>
      <name val="細明體"/>
      <family val="3"/>
      <charset val="136"/>
    </font>
    <font>
      <sz val="16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b/>
      <sz val="12"/>
      <name val="Times New Roman"/>
      <family val="1"/>
    </font>
    <font>
      <sz val="12"/>
      <name val="標楷體"/>
      <family val="4"/>
      <charset val="136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14"/>
      <color theme="1"/>
      <name val="Arial"/>
      <family val="2"/>
    </font>
    <font>
      <sz val="12"/>
      <color theme="1"/>
      <name val="細明體"/>
      <family val="3"/>
      <charset val="136"/>
    </font>
    <font>
      <sz val="14"/>
      <color theme="1"/>
      <name val="標楷體"/>
      <family val="4"/>
      <charset val="136"/>
    </font>
    <font>
      <sz val="14"/>
      <color theme="1"/>
      <name val="細明體"/>
      <family val="3"/>
      <charset val="136"/>
    </font>
    <font>
      <sz val="14"/>
      <name val="新細明體"/>
      <family val="1"/>
      <charset val="136"/>
    </font>
    <font>
      <b/>
      <sz val="14"/>
      <color rgb="FFFF0000"/>
      <name val="細明體"/>
      <family val="3"/>
      <charset val="136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30"/>
      <name val="新細明體"/>
      <family val="1"/>
      <charset val="136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0" fillId="0" borderId="0">
      <alignment vertical="center"/>
    </xf>
  </cellStyleXfs>
  <cellXfs count="104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justify" vertical="center" wrapText="1"/>
    </xf>
    <xf numFmtId="0" fontId="7" fillId="0" borderId="13" xfId="0" applyFont="1" applyBorder="1" applyAlignment="1">
      <alignment vertical="center" wrapText="1"/>
    </xf>
    <xf numFmtId="177" fontId="2" fillId="0" borderId="10" xfId="0" applyNumberFormat="1" applyFont="1" applyBorder="1" applyAlignment="1">
      <alignment horizontal="right" vertical="center" wrapText="1"/>
    </xf>
    <xf numFmtId="177" fontId="2" fillId="0" borderId="14" xfId="0" applyNumberFormat="1" applyFont="1" applyBorder="1" applyAlignment="1">
      <alignment horizontal="right" vertical="center" wrapText="1"/>
    </xf>
    <xf numFmtId="0" fontId="9" fillId="0" borderId="15" xfId="0" applyFont="1" applyBorder="1" applyAlignment="1">
      <alignment horizontal="justify" vertical="center" wrapText="1"/>
    </xf>
    <xf numFmtId="0" fontId="9" fillId="0" borderId="16" xfId="0" applyFont="1" applyBorder="1" applyAlignment="1">
      <alignment horizontal="justify" vertical="center" wrapText="1"/>
    </xf>
    <xf numFmtId="0" fontId="2" fillId="0" borderId="0" xfId="0" applyFont="1" applyAlignment="1">
      <alignment horizontal="center" vertical="center"/>
    </xf>
    <xf numFmtId="178" fontId="7" fillId="0" borderId="51" xfId="0" applyNumberFormat="1" applyFont="1" applyBorder="1" applyAlignment="1">
      <alignment horizontal="center" vertical="center" wrapText="1"/>
    </xf>
    <xf numFmtId="178" fontId="7" fillId="0" borderId="16" xfId="0" applyNumberFormat="1" applyFont="1" applyBorder="1" applyAlignment="1">
      <alignment horizontal="center" vertical="center" wrapText="1"/>
    </xf>
    <xf numFmtId="177" fontId="7" fillId="0" borderId="16" xfId="0" applyNumberFormat="1" applyFont="1" applyBorder="1" applyAlignment="1">
      <alignment horizontal="center" vertical="center" wrapText="1"/>
    </xf>
    <xf numFmtId="0" fontId="11" fillId="2" borderId="0" xfId="1" applyFont="1" applyFill="1" applyAlignment="1">
      <alignment horizontal="center" vertical="center"/>
    </xf>
    <xf numFmtId="0" fontId="12" fillId="3" borderId="0" xfId="1" applyFont="1" applyFill="1" applyAlignment="1">
      <alignment horizontal="center" vertical="center"/>
    </xf>
    <xf numFmtId="178" fontId="14" fillId="0" borderId="0" xfId="1" applyNumberFormat="1" applyFont="1" applyBorder="1" applyAlignment="1">
      <alignment vertical="center"/>
    </xf>
    <xf numFmtId="178" fontId="2" fillId="0" borderId="0" xfId="0" applyNumberFormat="1" applyFont="1" applyAlignment="1">
      <alignment vertical="center"/>
    </xf>
    <xf numFmtId="0" fontId="13" fillId="0" borderId="0" xfId="1" applyFont="1" applyFill="1" applyBorder="1" applyAlignment="1">
      <alignment vertical="center"/>
    </xf>
    <xf numFmtId="0" fontId="4" fillId="0" borderId="53" xfId="0" applyFont="1" applyBorder="1" applyAlignment="1">
      <alignment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vertical="center"/>
    </xf>
    <xf numFmtId="178" fontId="15" fillId="0" borderId="0" xfId="1" applyNumberFormat="1" applyFont="1" applyBorder="1" applyAlignment="1">
      <alignment horizontal="right" vertical="center"/>
    </xf>
    <xf numFmtId="177" fontId="2" fillId="0" borderId="10" xfId="0" applyNumberFormat="1" applyFont="1" applyBorder="1" applyAlignment="1">
      <alignment horizontal="center" vertical="center" wrapText="1"/>
    </xf>
    <xf numFmtId="0" fontId="15" fillId="0" borderId="10" xfId="0" applyNumberFormat="1" applyFont="1" applyBorder="1" applyAlignment="1">
      <alignment horizontal="center" vertical="center" wrapText="1"/>
    </xf>
    <xf numFmtId="41" fontId="16" fillId="0" borderId="49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41" fontId="16" fillId="0" borderId="52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180" fontId="17" fillId="0" borderId="50" xfId="0" applyNumberFormat="1" applyFont="1" applyBorder="1" applyAlignment="1">
      <alignment horizontal="center" vertical="center" wrapText="1"/>
    </xf>
    <xf numFmtId="180" fontId="17" fillId="0" borderId="16" xfId="0" applyNumberFormat="1" applyFont="1" applyBorder="1" applyAlignment="1">
      <alignment horizontal="center" vertical="center" wrapText="1"/>
    </xf>
    <xf numFmtId="180" fontId="15" fillId="0" borderId="10" xfId="0" applyNumberFormat="1" applyFont="1" applyBorder="1" applyAlignment="1">
      <alignment horizontal="center" vertical="center" wrapText="1"/>
    </xf>
    <xf numFmtId="180" fontId="15" fillId="0" borderId="0" xfId="1" applyNumberFormat="1" applyFont="1" applyBorder="1" applyAlignment="1">
      <alignment horizontal="right" vertical="center"/>
    </xf>
    <xf numFmtId="0" fontId="20" fillId="2" borderId="0" xfId="1" applyFont="1" applyFill="1" applyBorder="1" applyAlignment="1">
      <alignment horizontal="center" vertical="center"/>
    </xf>
    <xf numFmtId="178" fontId="21" fillId="2" borderId="0" xfId="1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179" fontId="19" fillId="0" borderId="5" xfId="0" applyNumberFormat="1" applyFont="1" applyBorder="1" applyAlignment="1">
      <alignment horizontal="center" vertical="center" wrapText="1"/>
    </xf>
    <xf numFmtId="179" fontId="19" fillId="0" borderId="18" xfId="0" applyNumberFormat="1" applyFont="1" applyBorder="1" applyAlignment="1">
      <alignment horizontal="center" vertical="center" wrapText="1"/>
    </xf>
    <xf numFmtId="179" fontId="19" fillId="0" borderId="17" xfId="0" applyNumberFormat="1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176" fontId="9" fillId="0" borderId="23" xfId="0" applyNumberFormat="1" applyFont="1" applyBorder="1" applyAlignment="1">
      <alignment horizontal="left" vertical="center"/>
    </xf>
    <xf numFmtId="176" fontId="9" fillId="0" borderId="24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center" vertical="center" wrapText="1"/>
    </xf>
    <xf numFmtId="0" fontId="0" fillId="0" borderId="31" xfId="0" applyBorder="1">
      <alignment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9" fillId="0" borderId="34" xfId="0" applyFont="1" applyBorder="1" applyAlignment="1">
      <alignment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0" borderId="39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58" xfId="0" applyFont="1" applyBorder="1" applyAlignment="1">
      <alignment horizontal="right" vertical="center" wrapText="1"/>
    </xf>
    <xf numFmtId="0" fontId="7" fillId="0" borderId="59" xfId="0" applyFont="1" applyBorder="1" applyAlignment="1">
      <alignment horizontal="right" vertical="center" wrapText="1"/>
    </xf>
    <xf numFmtId="0" fontId="7" fillId="0" borderId="60" xfId="0" applyFont="1" applyBorder="1" applyAlignment="1">
      <alignment horizontal="right" vertical="center" wrapText="1"/>
    </xf>
    <xf numFmtId="0" fontId="2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</cellXfs>
  <cellStyles count="3">
    <cellStyle name="0,0_x000d__x000a_NA_x000d__x000a_ 10" xfId="1"/>
    <cellStyle name="一般" xfId="0" builtinId="0"/>
    <cellStyle name="一般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1075764</xdr:colOff>
      <xdr:row>18</xdr:row>
      <xdr:rowOff>224119</xdr:rowOff>
    </xdr:from>
    <xdr:to>
      <xdr:col>6</xdr:col>
      <xdr:colOff>89646</xdr:colOff>
      <xdr:row>25</xdr:row>
      <xdr:rowOff>212913</xdr:rowOff>
    </xdr:to>
    <xdr:pic>
      <xdr:nvPicPr>
        <xdr:cNvPr id="4" name="圖片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2088" y="6241678"/>
          <a:ext cx="2812676" cy="2185147"/>
        </a:xfrm>
        <a:prstGeom prst="rect">
          <a:avLst/>
        </a:prstGeom>
        <a:noFill/>
        <a:ln>
          <a:noFill/>
        </a:ln>
        <a:extLst/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3"/>
  <sheetViews>
    <sheetView showGridLines="0" tabSelected="1" zoomScale="85" zoomScaleNormal="85" workbookViewId="0">
      <selection activeCell="H9" sqref="H9:J27"/>
    </sheetView>
  </sheetViews>
  <sheetFormatPr defaultRowHeight="15" x14ac:dyDescent="0.25"/>
  <cols>
    <col min="1" max="1" width="16.5" style="1" customWidth="1"/>
    <col min="2" max="2" width="41.625" style="1" customWidth="1"/>
    <col min="3" max="3" width="15.625" style="1" customWidth="1"/>
    <col min="4" max="4" width="13" style="1" bestFit="1" customWidth="1"/>
    <col min="5" max="5" width="7" style="2" customWidth="1"/>
    <col min="6" max="6" width="14.25" style="1" customWidth="1"/>
    <col min="7" max="7" width="15.5" style="1" customWidth="1"/>
    <col min="8" max="10" width="6.625" style="1" customWidth="1"/>
    <col min="11" max="12" width="15.625" style="1" customWidth="1"/>
    <col min="13" max="16384" width="9" style="1"/>
  </cols>
  <sheetData>
    <row r="1" spans="1:12" ht="45" customHeight="1" thickBot="1" x14ac:dyDescent="0.3">
      <c r="A1" s="61" t="s">
        <v>10</v>
      </c>
      <c r="B1" s="62"/>
      <c r="C1" s="62"/>
      <c r="D1" s="62"/>
      <c r="E1" s="62"/>
      <c r="F1" s="62"/>
      <c r="G1" s="62"/>
      <c r="H1" s="62"/>
      <c r="I1" s="62"/>
      <c r="J1" s="62"/>
    </row>
    <row r="2" spans="1:12" ht="24.95" customHeight="1" x14ac:dyDescent="0.25">
      <c r="A2" s="5" t="s">
        <v>0</v>
      </c>
      <c r="B2" s="66" t="s">
        <v>25</v>
      </c>
      <c r="C2" s="67"/>
      <c r="D2" s="18" t="s">
        <v>17</v>
      </c>
      <c r="E2" s="72"/>
      <c r="F2" s="73"/>
      <c r="G2" s="14" t="s">
        <v>18</v>
      </c>
      <c r="H2" s="68">
        <v>76014406</v>
      </c>
      <c r="I2" s="68"/>
      <c r="J2" s="69"/>
      <c r="K2" s="86"/>
      <c r="L2" s="87"/>
    </row>
    <row r="3" spans="1:12" ht="24.95" customHeight="1" x14ac:dyDescent="0.25">
      <c r="A3" s="6" t="s">
        <v>7</v>
      </c>
      <c r="B3" s="74"/>
      <c r="C3" s="75"/>
      <c r="D3" s="19" t="s">
        <v>24</v>
      </c>
      <c r="E3" s="76"/>
      <c r="F3" s="76"/>
      <c r="G3" s="70"/>
      <c r="H3" s="70"/>
      <c r="I3" s="70"/>
      <c r="J3" s="71"/>
      <c r="K3" s="86"/>
      <c r="L3" s="87"/>
    </row>
    <row r="4" spans="1:12" ht="24.95" customHeight="1" x14ac:dyDescent="0.25">
      <c r="A4" s="7" t="s">
        <v>8</v>
      </c>
      <c r="B4" s="63"/>
      <c r="C4" s="64"/>
      <c r="D4" s="64"/>
      <c r="E4" s="64"/>
      <c r="F4" s="64"/>
      <c r="G4" s="64"/>
      <c r="H4" s="64"/>
      <c r="I4" s="64"/>
      <c r="J4" s="65"/>
      <c r="K4" s="86"/>
      <c r="L4" s="87"/>
    </row>
    <row r="5" spans="1:12" ht="24.95" customHeight="1" thickBot="1" x14ac:dyDescent="0.3">
      <c r="A5" s="8" t="s">
        <v>15</v>
      </c>
      <c r="B5" s="77"/>
      <c r="C5" s="78"/>
      <c r="D5" s="78"/>
      <c r="E5" s="79" t="s">
        <v>19</v>
      </c>
      <c r="F5" s="80"/>
      <c r="G5" s="59">
        <f ca="1">TODAY()</f>
        <v>44455</v>
      </c>
      <c r="H5" s="59"/>
      <c r="I5" s="59"/>
      <c r="J5" s="60"/>
      <c r="K5" s="86"/>
      <c r="L5" s="87"/>
    </row>
    <row r="6" spans="1:12" ht="15.75" thickBot="1" x14ac:dyDescent="0.3">
      <c r="A6" s="1" t="s">
        <v>1</v>
      </c>
    </row>
    <row r="7" spans="1:12" s="2" customFormat="1" ht="42.75" customHeight="1" thickBot="1" x14ac:dyDescent="0.3">
      <c r="A7" s="81" t="s">
        <v>30</v>
      </c>
      <c r="B7" s="54"/>
      <c r="C7" s="82"/>
      <c r="D7" s="13" t="s">
        <v>2</v>
      </c>
      <c r="E7" s="13" t="s">
        <v>11</v>
      </c>
      <c r="F7" s="13" t="s">
        <v>3</v>
      </c>
      <c r="G7" s="13" t="s">
        <v>12</v>
      </c>
      <c r="H7" s="53" t="s">
        <v>4</v>
      </c>
      <c r="I7" s="54"/>
      <c r="J7" s="55"/>
      <c r="K7" s="24" t="s">
        <v>28</v>
      </c>
      <c r="L7" s="25" t="s">
        <v>29</v>
      </c>
    </row>
    <row r="8" spans="1:12" ht="24.95" customHeight="1" x14ac:dyDescent="0.25">
      <c r="A8" s="83" t="s">
        <v>31</v>
      </c>
      <c r="B8" s="84"/>
      <c r="C8" s="85"/>
      <c r="D8" s="34">
        <v>1</v>
      </c>
      <c r="E8" s="35" t="s">
        <v>26</v>
      </c>
      <c r="F8" s="40">
        <v>61846</v>
      </c>
      <c r="G8" s="21">
        <v>61846</v>
      </c>
      <c r="H8" s="56"/>
      <c r="I8" s="57"/>
      <c r="J8" s="58"/>
      <c r="K8" s="43">
        <v>16000</v>
      </c>
      <c r="L8" s="32">
        <v>16000</v>
      </c>
    </row>
    <row r="9" spans="1:12" ht="24.95" customHeight="1" x14ac:dyDescent="0.25">
      <c r="A9" s="50" t="s">
        <v>32</v>
      </c>
      <c r="B9" s="51"/>
      <c r="C9" s="52"/>
      <c r="D9" s="34"/>
      <c r="E9" s="37"/>
      <c r="F9" s="41"/>
      <c r="G9" s="22"/>
      <c r="H9" s="56"/>
      <c r="I9" s="57"/>
      <c r="J9" s="58"/>
      <c r="K9" s="43"/>
      <c r="L9" s="32"/>
    </row>
    <row r="10" spans="1:12" ht="24.95" customHeight="1" x14ac:dyDescent="0.25">
      <c r="A10" s="50"/>
      <c r="B10" s="51"/>
      <c r="C10" s="52"/>
      <c r="D10" s="36"/>
      <c r="E10" s="39"/>
      <c r="F10" s="41"/>
      <c r="G10" s="23"/>
      <c r="H10" s="56"/>
      <c r="I10" s="57"/>
      <c r="J10" s="58"/>
      <c r="K10" s="43"/>
      <c r="L10" s="32"/>
    </row>
    <row r="11" spans="1:12" ht="24.95" customHeight="1" x14ac:dyDescent="0.25">
      <c r="A11" s="50"/>
      <c r="B11" s="51"/>
      <c r="C11" s="52"/>
      <c r="D11" s="36"/>
      <c r="E11" s="38"/>
      <c r="F11" s="42"/>
      <c r="G11" s="33"/>
      <c r="H11" s="56"/>
      <c r="I11" s="57"/>
      <c r="J11" s="58"/>
      <c r="K11" s="43"/>
      <c r="L11" s="32"/>
    </row>
    <row r="12" spans="1:12" ht="24.95" customHeight="1" x14ac:dyDescent="0.25">
      <c r="A12" s="50"/>
      <c r="B12" s="51"/>
      <c r="C12" s="52"/>
      <c r="D12" s="36"/>
      <c r="E12" s="36"/>
      <c r="F12" s="42"/>
      <c r="G12" s="33"/>
      <c r="H12" s="56"/>
      <c r="I12" s="57"/>
      <c r="J12" s="58"/>
      <c r="K12" s="43"/>
      <c r="L12" s="32"/>
    </row>
    <row r="13" spans="1:12" ht="24.95" customHeight="1" x14ac:dyDescent="0.25">
      <c r="A13" s="50"/>
      <c r="B13" s="51"/>
      <c r="C13" s="52"/>
      <c r="D13" s="36"/>
      <c r="E13" s="36"/>
      <c r="F13" s="42"/>
      <c r="G13" s="33"/>
      <c r="H13" s="56"/>
      <c r="I13" s="57"/>
      <c r="J13" s="58"/>
      <c r="K13" s="43"/>
      <c r="L13" s="32"/>
    </row>
    <row r="14" spans="1:12" ht="24.95" customHeight="1" x14ac:dyDescent="0.25">
      <c r="A14" s="50"/>
      <c r="B14" s="51"/>
      <c r="C14" s="52"/>
      <c r="D14" s="36"/>
      <c r="E14" s="36"/>
      <c r="F14" s="42"/>
      <c r="G14" s="33"/>
      <c r="H14" s="56"/>
      <c r="I14" s="57"/>
      <c r="J14" s="58"/>
      <c r="K14" s="43"/>
      <c r="L14" s="32"/>
    </row>
    <row r="15" spans="1:12" ht="24.95" customHeight="1" x14ac:dyDescent="0.25">
      <c r="A15" s="50"/>
      <c r="B15" s="51"/>
      <c r="C15" s="52"/>
      <c r="D15" s="36"/>
      <c r="E15" s="36"/>
      <c r="F15" s="42"/>
      <c r="G15" s="33"/>
      <c r="H15" s="56"/>
      <c r="I15" s="57"/>
      <c r="J15" s="58"/>
      <c r="K15" s="43"/>
      <c r="L15" s="32"/>
    </row>
    <row r="16" spans="1:12" ht="24.95" customHeight="1" x14ac:dyDescent="0.25">
      <c r="A16" s="47"/>
      <c r="B16" s="48"/>
      <c r="C16" s="49"/>
      <c r="D16" s="36"/>
      <c r="E16" s="36"/>
      <c r="F16" s="42"/>
      <c r="G16" s="33"/>
      <c r="H16" s="56"/>
      <c r="I16" s="57"/>
      <c r="J16" s="58"/>
      <c r="K16" s="43"/>
      <c r="L16" s="32"/>
    </row>
    <row r="17" spans="1:12" ht="24.95" customHeight="1" x14ac:dyDescent="0.25">
      <c r="A17" s="50"/>
      <c r="B17" s="51"/>
      <c r="C17" s="52"/>
      <c r="D17" s="36"/>
      <c r="E17" s="36"/>
      <c r="F17" s="42"/>
      <c r="G17" s="33"/>
      <c r="H17" s="56"/>
      <c r="I17" s="57"/>
      <c r="J17" s="58"/>
      <c r="K17" s="43"/>
      <c r="L17" s="32"/>
    </row>
    <row r="18" spans="1:12" ht="24.95" customHeight="1" x14ac:dyDescent="0.25">
      <c r="A18" s="50"/>
      <c r="B18" s="51"/>
      <c r="C18" s="52"/>
      <c r="D18" s="36"/>
      <c r="E18" s="36"/>
      <c r="F18" s="42"/>
      <c r="G18" s="33"/>
      <c r="H18" s="56"/>
      <c r="I18" s="57"/>
      <c r="J18" s="58"/>
      <c r="K18" s="43"/>
      <c r="L18" s="32"/>
    </row>
    <row r="19" spans="1:12" ht="24.95" customHeight="1" x14ac:dyDescent="0.25">
      <c r="A19" s="50"/>
      <c r="B19" s="51"/>
      <c r="C19" s="52"/>
      <c r="D19" s="36"/>
      <c r="E19" s="36"/>
      <c r="F19" s="42"/>
      <c r="G19" s="33"/>
      <c r="H19" s="56"/>
      <c r="I19" s="57"/>
      <c r="J19" s="58"/>
      <c r="K19" s="43"/>
      <c r="L19" s="32"/>
    </row>
    <row r="20" spans="1:12" ht="24.95" customHeight="1" x14ac:dyDescent="0.25">
      <c r="A20" s="50"/>
      <c r="B20" s="51"/>
      <c r="C20" s="52"/>
      <c r="D20" s="36"/>
      <c r="E20" s="36"/>
      <c r="F20" s="42"/>
      <c r="G20" s="33"/>
      <c r="H20" s="56"/>
      <c r="I20" s="57"/>
      <c r="J20" s="58"/>
      <c r="K20" s="43"/>
      <c r="L20" s="32"/>
    </row>
    <row r="21" spans="1:12" ht="24.95" customHeight="1" x14ac:dyDescent="0.25">
      <c r="A21" s="50"/>
      <c r="B21" s="51"/>
      <c r="C21" s="52"/>
      <c r="D21" s="36"/>
      <c r="E21" s="36"/>
      <c r="F21" s="42"/>
      <c r="G21" s="33"/>
      <c r="H21" s="56"/>
      <c r="I21" s="57"/>
      <c r="J21" s="58"/>
      <c r="K21" s="43"/>
      <c r="L21" s="32"/>
    </row>
    <row r="22" spans="1:12" ht="24.95" customHeight="1" x14ac:dyDescent="0.25">
      <c r="A22" s="50"/>
      <c r="B22" s="51"/>
      <c r="C22" s="52"/>
      <c r="D22" s="36"/>
      <c r="E22" s="36"/>
      <c r="F22" s="42"/>
      <c r="G22" s="33"/>
      <c r="H22" s="56"/>
      <c r="I22" s="57"/>
      <c r="J22" s="58"/>
      <c r="K22" s="43"/>
      <c r="L22" s="32"/>
    </row>
    <row r="23" spans="1:12" ht="24.95" customHeight="1" x14ac:dyDescent="0.25">
      <c r="A23" s="50"/>
      <c r="B23" s="51"/>
      <c r="C23" s="52"/>
      <c r="D23" s="36"/>
      <c r="E23" s="36"/>
      <c r="F23" s="42"/>
      <c r="G23" s="33"/>
      <c r="H23" s="56"/>
      <c r="I23" s="57"/>
      <c r="J23" s="58"/>
      <c r="K23" s="43"/>
      <c r="L23" s="32"/>
    </row>
    <row r="24" spans="1:12" ht="24.95" customHeight="1" x14ac:dyDescent="0.25">
      <c r="A24" s="50"/>
      <c r="B24" s="51"/>
      <c r="C24" s="52"/>
      <c r="D24" s="36"/>
      <c r="E24" s="36"/>
      <c r="F24" s="42"/>
      <c r="G24" s="33"/>
      <c r="H24" s="56"/>
      <c r="I24" s="57"/>
      <c r="J24" s="58"/>
      <c r="K24" s="43"/>
      <c r="L24" s="32"/>
    </row>
    <row r="25" spans="1:12" ht="24.95" customHeight="1" x14ac:dyDescent="0.25">
      <c r="A25" s="50"/>
      <c r="B25" s="51"/>
      <c r="C25" s="52"/>
      <c r="D25" s="36"/>
      <c r="E25" s="36"/>
      <c r="F25" s="42"/>
      <c r="G25" s="33"/>
      <c r="H25" s="56"/>
      <c r="I25" s="57"/>
      <c r="J25" s="58"/>
      <c r="K25" s="43"/>
      <c r="L25" s="32"/>
    </row>
    <row r="26" spans="1:12" ht="24.95" customHeight="1" x14ac:dyDescent="0.25">
      <c r="A26" s="50"/>
      <c r="B26" s="51"/>
      <c r="C26" s="52"/>
      <c r="D26" s="36"/>
      <c r="E26" s="36"/>
      <c r="F26" s="42"/>
      <c r="G26" s="33"/>
      <c r="H26" s="56"/>
      <c r="I26" s="57"/>
      <c r="J26" s="58"/>
      <c r="K26" s="43"/>
      <c r="L26" s="32"/>
    </row>
    <row r="27" spans="1:12" ht="24.95" customHeight="1" x14ac:dyDescent="0.25">
      <c r="A27" s="50"/>
      <c r="B27" s="51"/>
      <c r="C27" s="52"/>
      <c r="D27" s="36"/>
      <c r="E27" s="36"/>
      <c r="F27" s="42"/>
      <c r="G27" s="33"/>
      <c r="H27" s="56"/>
      <c r="I27" s="57"/>
      <c r="J27" s="58"/>
      <c r="K27" s="43"/>
      <c r="L27" s="32"/>
    </row>
    <row r="28" spans="1:12" ht="24.95" customHeight="1" x14ac:dyDescent="0.25">
      <c r="A28" s="9"/>
      <c r="B28" s="10"/>
      <c r="C28" s="10"/>
      <c r="D28" s="29"/>
      <c r="E28" s="30"/>
      <c r="F28" s="29"/>
      <c r="G28" s="29"/>
      <c r="H28" s="29"/>
      <c r="I28" s="29"/>
      <c r="J28" s="31"/>
      <c r="K28" s="28"/>
      <c r="L28" s="26"/>
    </row>
    <row r="29" spans="1:12" s="3" customFormat="1" ht="20.100000000000001" customHeight="1" x14ac:dyDescent="0.25">
      <c r="A29" s="11" t="s">
        <v>14</v>
      </c>
      <c r="B29" s="17">
        <f>SUM($G$8:$G$27)</f>
        <v>61846</v>
      </c>
      <c r="C29" s="4" t="s">
        <v>22</v>
      </c>
      <c r="D29" s="100" t="s">
        <v>27</v>
      </c>
      <c r="E29" s="100"/>
      <c r="F29" s="100"/>
      <c r="G29" s="100"/>
      <c r="H29" s="100"/>
      <c r="I29" s="100"/>
      <c r="J29" s="101"/>
      <c r="L29" s="27">
        <f>SUM(L8:L28)</f>
        <v>16000</v>
      </c>
    </row>
    <row r="30" spans="1:12" s="3" customFormat="1" ht="20.100000000000001" customHeight="1" x14ac:dyDescent="0.25">
      <c r="A30" s="11" t="s">
        <v>21</v>
      </c>
      <c r="B30" s="16">
        <f>B29*0.05</f>
        <v>3092.3</v>
      </c>
      <c r="C30" s="4"/>
      <c r="D30" s="100"/>
      <c r="E30" s="100"/>
      <c r="F30" s="100"/>
      <c r="G30" s="100"/>
      <c r="H30" s="100"/>
      <c r="I30" s="100"/>
      <c r="J30" s="101"/>
      <c r="L30" s="27">
        <f>L29*0.05</f>
        <v>800</v>
      </c>
    </row>
    <row r="31" spans="1:12" s="3" customFormat="1" ht="20.100000000000001" customHeight="1" x14ac:dyDescent="0.25">
      <c r="A31" s="11" t="s">
        <v>20</v>
      </c>
      <c r="B31" s="16">
        <f>B29+B30</f>
        <v>64938.3</v>
      </c>
      <c r="C31" s="4" t="s">
        <v>16</v>
      </c>
      <c r="D31" s="100"/>
      <c r="E31" s="100"/>
      <c r="F31" s="102"/>
      <c r="G31" s="102"/>
      <c r="H31" s="102"/>
      <c r="I31" s="102"/>
      <c r="J31" s="103"/>
      <c r="L31" s="27">
        <f>SUM(L29:L30)</f>
        <v>16800</v>
      </c>
    </row>
    <row r="32" spans="1:12" s="3" customFormat="1" ht="39" customHeight="1" thickBot="1" x14ac:dyDescent="0.3">
      <c r="A32" s="15" t="s">
        <v>5</v>
      </c>
      <c r="B32" s="97" t="s">
        <v>13</v>
      </c>
      <c r="C32" s="98"/>
      <c r="D32" s="99"/>
      <c r="E32" s="12" t="s">
        <v>9</v>
      </c>
      <c r="F32" s="94" t="s">
        <v>6</v>
      </c>
      <c r="G32" s="95"/>
      <c r="H32" s="95"/>
      <c r="I32" s="95"/>
      <c r="J32" s="96"/>
      <c r="K32" s="44" t="s">
        <v>33</v>
      </c>
      <c r="L32" s="45">
        <f>B31-L31</f>
        <v>48138.3</v>
      </c>
    </row>
    <row r="33" spans="1:12" s="3" customFormat="1" ht="18.75" thickBot="1" x14ac:dyDescent="0.3">
      <c r="E33" s="20"/>
      <c r="K33" s="46"/>
      <c r="L33" s="46"/>
    </row>
    <row r="34" spans="1:12" s="3" customFormat="1" ht="29.25" customHeight="1" thickBot="1" x14ac:dyDescent="0.3">
      <c r="A34" s="91" t="s">
        <v>23</v>
      </c>
      <c r="B34" s="92"/>
      <c r="C34" s="92"/>
      <c r="D34" s="92"/>
      <c r="E34" s="92"/>
      <c r="F34" s="92"/>
      <c r="G34" s="92"/>
      <c r="H34" s="92"/>
      <c r="I34" s="92"/>
      <c r="J34" s="93"/>
      <c r="K34" s="44" t="s">
        <v>34</v>
      </c>
      <c r="L34" s="45">
        <f>B33-L33</f>
        <v>0</v>
      </c>
    </row>
    <row r="35" spans="1:12" s="3" customFormat="1" ht="18.75" thickBot="1" x14ac:dyDescent="0.3">
      <c r="A35" s="88"/>
      <c r="B35" s="89"/>
      <c r="C35" s="89"/>
      <c r="D35" s="89"/>
      <c r="E35" s="89"/>
      <c r="F35" s="89"/>
      <c r="G35" s="89"/>
      <c r="H35" s="89"/>
      <c r="I35" s="89"/>
      <c r="J35" s="90"/>
    </row>
    <row r="36" spans="1:12" ht="15.75" thickBot="1" x14ac:dyDescent="0.3">
      <c r="A36" s="88"/>
      <c r="B36" s="89"/>
      <c r="C36" s="89"/>
      <c r="D36" s="89"/>
      <c r="E36" s="89"/>
      <c r="F36" s="89"/>
      <c r="G36" s="89"/>
      <c r="H36" s="89"/>
      <c r="I36" s="89"/>
      <c r="J36" s="90"/>
    </row>
    <row r="37" spans="1:12" ht="15.75" thickBot="1" x14ac:dyDescent="0.3">
      <c r="A37" s="88"/>
      <c r="B37" s="89"/>
      <c r="C37" s="89"/>
      <c r="D37" s="89"/>
      <c r="E37" s="89"/>
      <c r="F37" s="89"/>
      <c r="G37" s="89"/>
      <c r="H37" s="89"/>
      <c r="I37" s="89"/>
      <c r="J37" s="90"/>
    </row>
    <row r="38" spans="1:12" ht="15.75" thickBot="1" x14ac:dyDescent="0.3">
      <c r="A38" s="88"/>
      <c r="B38" s="89"/>
      <c r="C38" s="89"/>
      <c r="D38" s="89"/>
      <c r="E38" s="89"/>
      <c r="F38" s="89"/>
      <c r="G38" s="89"/>
      <c r="H38" s="89"/>
      <c r="I38" s="89"/>
      <c r="J38" s="90"/>
    </row>
    <row r="39" spans="1:12" ht="15.75" thickBot="1" x14ac:dyDescent="0.3">
      <c r="A39" s="88"/>
      <c r="B39" s="89"/>
      <c r="C39" s="89"/>
      <c r="D39" s="89"/>
      <c r="E39" s="89"/>
      <c r="F39" s="89"/>
      <c r="G39" s="89"/>
      <c r="H39" s="89"/>
      <c r="I39" s="89"/>
      <c r="J39" s="90"/>
    </row>
    <row r="40" spans="1:12" ht="15.75" thickBot="1" x14ac:dyDescent="0.3">
      <c r="A40" s="88"/>
      <c r="B40" s="89"/>
      <c r="C40" s="89"/>
      <c r="D40" s="89"/>
      <c r="E40" s="89"/>
      <c r="F40" s="89"/>
      <c r="G40" s="89"/>
      <c r="H40" s="89"/>
      <c r="I40" s="89"/>
      <c r="J40" s="90"/>
    </row>
    <row r="41" spans="1:12" ht="15.75" thickBot="1" x14ac:dyDescent="0.3">
      <c r="A41" s="88"/>
      <c r="B41" s="89"/>
      <c r="C41" s="89"/>
      <c r="D41" s="89"/>
      <c r="E41" s="89"/>
      <c r="F41" s="89"/>
      <c r="G41" s="89"/>
      <c r="H41" s="89"/>
      <c r="I41" s="89"/>
      <c r="J41" s="90"/>
    </row>
    <row r="42" spans="1:12" ht="15.75" thickBot="1" x14ac:dyDescent="0.3">
      <c r="A42" s="88"/>
      <c r="B42" s="89"/>
      <c r="C42" s="89"/>
      <c r="D42" s="89"/>
      <c r="E42" s="89"/>
      <c r="F42" s="89"/>
      <c r="G42" s="89"/>
      <c r="H42" s="89"/>
      <c r="I42" s="89"/>
      <c r="J42" s="90"/>
    </row>
    <row r="43" spans="1:12" ht="15.75" thickBot="1" x14ac:dyDescent="0.3">
      <c r="A43" s="88"/>
      <c r="B43" s="89"/>
      <c r="C43" s="89"/>
      <c r="D43" s="89"/>
      <c r="E43" s="89"/>
      <c r="F43" s="89"/>
      <c r="G43" s="89"/>
      <c r="H43" s="89"/>
      <c r="I43" s="89"/>
      <c r="J43" s="90"/>
    </row>
    <row r="44" spans="1:12" ht="15.75" thickBot="1" x14ac:dyDescent="0.3">
      <c r="A44" s="88"/>
      <c r="B44" s="89"/>
      <c r="C44" s="89"/>
      <c r="D44" s="89"/>
      <c r="E44" s="89"/>
      <c r="F44" s="89"/>
      <c r="G44" s="89"/>
      <c r="H44" s="89"/>
      <c r="I44" s="89"/>
      <c r="J44" s="90"/>
    </row>
    <row r="45" spans="1:12" ht="15.75" thickBot="1" x14ac:dyDescent="0.3">
      <c r="A45" s="88"/>
      <c r="B45" s="89"/>
      <c r="C45" s="89"/>
      <c r="D45" s="89"/>
      <c r="E45" s="89"/>
      <c r="F45" s="89"/>
      <c r="G45" s="89"/>
      <c r="H45" s="89"/>
      <c r="I45" s="89"/>
      <c r="J45" s="90"/>
    </row>
    <row r="46" spans="1:12" ht="15.75" thickBot="1" x14ac:dyDescent="0.3">
      <c r="A46" s="88"/>
      <c r="B46" s="89"/>
      <c r="C46" s="89"/>
      <c r="D46" s="89"/>
      <c r="E46" s="89"/>
      <c r="F46" s="89"/>
      <c r="G46" s="89"/>
      <c r="H46" s="89"/>
      <c r="I46" s="89"/>
      <c r="J46" s="90"/>
    </row>
    <row r="47" spans="1:12" ht="15.75" thickBot="1" x14ac:dyDescent="0.3">
      <c r="A47" s="88"/>
      <c r="B47" s="89"/>
      <c r="C47" s="89"/>
      <c r="D47" s="89"/>
      <c r="E47" s="89"/>
      <c r="F47" s="89"/>
      <c r="G47" s="89"/>
      <c r="H47" s="89"/>
      <c r="I47" s="89"/>
      <c r="J47" s="90"/>
    </row>
    <row r="48" spans="1:12" ht="15.75" thickBot="1" x14ac:dyDescent="0.3">
      <c r="A48" s="88"/>
      <c r="B48" s="89"/>
      <c r="C48" s="89"/>
      <c r="D48" s="89"/>
      <c r="E48" s="89"/>
      <c r="F48" s="89"/>
      <c r="G48" s="89"/>
      <c r="H48" s="89"/>
      <c r="I48" s="89"/>
      <c r="J48" s="90"/>
    </row>
    <row r="49" spans="1:10" ht="15.75" thickBot="1" x14ac:dyDescent="0.3">
      <c r="A49" s="88"/>
      <c r="B49" s="89"/>
      <c r="C49" s="89"/>
      <c r="D49" s="89"/>
      <c r="E49" s="89"/>
      <c r="F49" s="89"/>
      <c r="G49" s="89"/>
      <c r="H49" s="89"/>
      <c r="I49" s="89"/>
      <c r="J49" s="90"/>
    </row>
    <row r="50" spans="1:10" ht="15.75" thickBot="1" x14ac:dyDescent="0.3">
      <c r="A50" s="88"/>
      <c r="B50" s="89"/>
      <c r="C50" s="89"/>
      <c r="D50" s="89"/>
      <c r="E50" s="89"/>
      <c r="F50" s="89"/>
      <c r="G50" s="89"/>
      <c r="H50" s="89"/>
      <c r="I50" s="89"/>
      <c r="J50" s="90"/>
    </row>
    <row r="51" spans="1:10" ht="15.75" thickBot="1" x14ac:dyDescent="0.3">
      <c r="A51" s="88"/>
      <c r="B51" s="89"/>
      <c r="C51" s="89"/>
      <c r="D51" s="89"/>
      <c r="E51" s="89"/>
      <c r="F51" s="89"/>
      <c r="G51" s="89"/>
      <c r="H51" s="89"/>
      <c r="I51" s="89"/>
      <c r="J51" s="90"/>
    </row>
    <row r="52" spans="1:10" ht="15.75" thickBot="1" x14ac:dyDescent="0.3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 ht="15.75" thickBot="1" x14ac:dyDescent="0.3">
      <c r="A53" s="88"/>
      <c r="B53" s="89"/>
      <c r="C53" s="89"/>
      <c r="D53" s="89"/>
      <c r="E53" s="89"/>
      <c r="F53" s="89"/>
      <c r="G53" s="89"/>
      <c r="H53" s="89"/>
      <c r="I53" s="89"/>
      <c r="J53" s="90"/>
    </row>
  </sheetData>
  <mergeCells count="59">
    <mergeCell ref="K2:L5"/>
    <mergeCell ref="A35:J53"/>
    <mergeCell ref="A34:J34"/>
    <mergeCell ref="H14:J14"/>
    <mergeCell ref="H20:J20"/>
    <mergeCell ref="H27:J27"/>
    <mergeCell ref="F32:J32"/>
    <mergeCell ref="B32:D32"/>
    <mergeCell ref="D29:J31"/>
    <mergeCell ref="H26:J26"/>
    <mergeCell ref="H24:J24"/>
    <mergeCell ref="H25:J25"/>
    <mergeCell ref="A17:C17"/>
    <mergeCell ref="A18:C18"/>
    <mergeCell ref="A19:C19"/>
    <mergeCell ref="A14:C14"/>
    <mergeCell ref="A15:C15"/>
    <mergeCell ref="H7:J7"/>
    <mergeCell ref="H8:J8"/>
    <mergeCell ref="G5:J5"/>
    <mergeCell ref="A1:J1"/>
    <mergeCell ref="B4:J4"/>
    <mergeCell ref="B2:C2"/>
    <mergeCell ref="H2:J2"/>
    <mergeCell ref="G3:J3"/>
    <mergeCell ref="E2:F2"/>
    <mergeCell ref="B3:C3"/>
    <mergeCell ref="E3:F3"/>
    <mergeCell ref="B5:D5"/>
    <mergeCell ref="E5:F5"/>
    <mergeCell ref="A7:C7"/>
    <mergeCell ref="A8:C8"/>
    <mergeCell ref="H9:J9"/>
    <mergeCell ref="H23:J23"/>
    <mergeCell ref="H13:J13"/>
    <mergeCell ref="H10:J10"/>
    <mergeCell ref="H11:J11"/>
    <mergeCell ref="H12:J12"/>
    <mergeCell ref="H21:J21"/>
    <mergeCell ref="H22:J22"/>
    <mergeCell ref="H15:J15"/>
    <mergeCell ref="H16:J16"/>
    <mergeCell ref="H17:J17"/>
    <mergeCell ref="H18:J18"/>
    <mergeCell ref="H19:J19"/>
    <mergeCell ref="A9:C9"/>
    <mergeCell ref="A10:C10"/>
    <mergeCell ref="A11:C11"/>
    <mergeCell ref="A12:C12"/>
    <mergeCell ref="A13:C13"/>
    <mergeCell ref="A16:C16"/>
    <mergeCell ref="A25:C25"/>
    <mergeCell ref="A26:C26"/>
    <mergeCell ref="A27:C27"/>
    <mergeCell ref="A20:C20"/>
    <mergeCell ref="A21:C21"/>
    <mergeCell ref="A22:C22"/>
    <mergeCell ref="A23:C23"/>
    <mergeCell ref="A24:C24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協新</vt:lpstr>
      <vt:lpstr>協新!Print_Area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</dc:creator>
  <cp:lastModifiedBy>Windows 使用者</cp:lastModifiedBy>
  <cp:lastPrinted>2019-05-23T01:49:44Z</cp:lastPrinted>
  <dcterms:created xsi:type="dcterms:W3CDTF">2004-04-01T13:01:15Z</dcterms:created>
  <dcterms:modified xsi:type="dcterms:W3CDTF">2021-09-16T12:48:31Z</dcterms:modified>
</cp:coreProperties>
</file>