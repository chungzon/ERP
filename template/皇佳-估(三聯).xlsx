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75" yWindow="105" windowWidth="16500" windowHeight="12060"/>
  </bookViews>
  <sheets>
    <sheet name="皇佳" sheetId="2" r:id="rId1"/>
  </sheets>
  <definedNames>
    <definedName name="_xlnm.Print_Area" localSheetId="0">皇佳!$A$1:$J$36</definedName>
  </definedNames>
  <calcPr calcId="152511"/>
</workbook>
</file>

<file path=xl/calcChain.xml><?xml version="1.0" encoding="utf-8"?>
<calcChain xmlns="http://schemas.openxmlformats.org/spreadsheetml/2006/main">
  <c r="L34" i="2" l="1"/>
  <c r="L30" i="2" l="1"/>
  <c r="L31" i="2" s="1"/>
  <c r="L32" i="2" l="1"/>
  <c r="G6" i="2" l="1"/>
  <c r="B30" i="2"/>
  <c r="B31" i="2" l="1"/>
  <c r="B32" i="2" s="1"/>
  <c r="L33" i="2" s="1"/>
</calcChain>
</file>

<file path=xl/sharedStrings.xml><?xml version="1.0" encoding="utf-8"?>
<sst xmlns="http://schemas.openxmlformats.org/spreadsheetml/2006/main" count="28" uniqueCount="28">
  <si>
    <t>數量</t>
  </si>
  <si>
    <t>單價</t>
  </si>
  <si>
    <t>備註</t>
  </si>
  <si>
    <t>地　　址</t>
    <phoneticPr fontId="4" type="noConversion"/>
  </si>
  <si>
    <t>填 表 人</t>
    <phoneticPr fontId="4" type="noConversion"/>
  </si>
  <si>
    <t>聯絡人</t>
    <phoneticPr fontId="4" type="noConversion"/>
  </si>
  <si>
    <t>報價單</t>
    <phoneticPr fontId="4" type="noConversion"/>
  </si>
  <si>
    <t>抬頭</t>
    <phoneticPr fontId="4" type="noConversion"/>
  </si>
  <si>
    <t>統編</t>
    <phoneticPr fontId="4" type="noConversion"/>
  </si>
  <si>
    <t xml:space="preserve">估價日期 </t>
    <phoneticPr fontId="4" type="noConversion"/>
  </si>
  <si>
    <t>單位</t>
    <phoneticPr fontId="4" type="noConversion"/>
  </si>
  <si>
    <t>總價</t>
    <phoneticPr fontId="4" type="noConversion"/>
  </si>
  <si>
    <t>合　　　計：</t>
    <phoneticPr fontId="4" type="noConversion"/>
  </si>
  <si>
    <t>稅　　　額：</t>
    <phoneticPr fontId="4" type="noConversion"/>
  </si>
  <si>
    <t>總　　　計：</t>
    <phoneticPr fontId="4" type="noConversion"/>
  </si>
  <si>
    <t>備註欄</t>
    <phoneticPr fontId="4" type="noConversion"/>
  </si>
  <si>
    <t xml:space="preserve">  </t>
    <phoneticPr fontId="4" type="noConversion"/>
  </si>
  <si>
    <t>台</t>
  </si>
  <si>
    <t>Batch price</t>
    <phoneticPr fontId="4" type="noConversion"/>
  </si>
  <si>
    <t>BP小計</t>
    <phoneticPr fontId="4" type="noConversion"/>
  </si>
  <si>
    <t>國立高雄科技大學</t>
    <phoneticPr fontId="4" type="noConversion"/>
  </si>
  <si>
    <t xml:space="preserve">新台幣： 零　拾　玖　萬　壹　仟　捌　佰　肆　拾　玖　元整  </t>
    <phoneticPr fontId="4" type="noConversion"/>
  </si>
  <si>
    <t>品名</t>
    <phoneticPr fontId="4" type="noConversion"/>
  </si>
  <si>
    <t>AVR8816A-32路監控主機(DVR3254LX)</t>
    <phoneticPr fontId="4" type="noConversion"/>
  </si>
  <si>
    <t>1</t>
  </si>
  <si>
    <t>以下空白</t>
    <phoneticPr fontId="4" type="noConversion"/>
  </si>
  <si>
    <t>利潤(含稅)</t>
    <phoneticPr fontId="4" type="noConversion"/>
  </si>
  <si>
    <t>利潤(未稅)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</si>
</sst>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yyyy&quot;年&quot;m&quot;月&quot;d&quot;日&quot;;@"/>
    <numFmt numFmtId="177" formatCode="&quot;$&quot;#,##0"/>
    <numFmt numFmtId="178" formatCode="&quot;$&quot;#,##0_);[Red]\(&quot;$&quot;#,##0\)"/>
    <numFmt numFmtId="179" formatCode="&quot;$&quot;#,##0.0_);[Red]\(&quot;$&quot;#,##0.0\)"/>
  </numFmts>
  <fonts count="1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4"/>
      <name val="Arial"/>
      <family val="2"/>
    </font>
    <font>
      <sz val="12"/>
      <name val="Arial"/>
      <family val="2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4"/>
      <name val="細明體"/>
      <family val="3"/>
      <charset val="136"/>
    </font>
    <font>
      <sz val="16"/>
      <name val="標楷體"/>
      <family val="4"/>
      <charset val="136"/>
    </font>
    <font>
      <sz val="48"/>
      <name val="標楷體"/>
      <family val="4"/>
      <charset val="136"/>
    </font>
    <font>
      <sz val="48"/>
      <name val="Arial"/>
      <family val="2"/>
    </font>
    <font>
      <sz val="12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2"/>
      <name val="Times New Roman"/>
      <family val="1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b/>
      <sz val="14"/>
      <color rgb="FFFF0000"/>
      <name val="細明體"/>
      <family val="3"/>
      <charset val="136"/>
    </font>
    <font>
      <b/>
      <sz val="14"/>
      <color rgb="FFFF0000"/>
      <name val="Arial"/>
      <family val="2"/>
    </font>
    <font>
      <b/>
      <sz val="14"/>
      <name val="細明體"/>
      <family val="3"/>
      <charset val="136"/>
    </font>
    <font>
      <sz val="30"/>
      <name val="新細明體"/>
      <family val="1"/>
      <charset val="136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double">
        <color indexed="64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double">
        <color indexed="64"/>
      </right>
      <top/>
      <bottom style="thin">
        <color indexed="8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/>
      <top style="double">
        <color indexed="64"/>
      </top>
      <bottom style="thin">
        <color indexed="8"/>
      </bottom>
      <diagonal/>
    </border>
    <border>
      <left/>
      <right/>
      <top style="double">
        <color indexed="64"/>
      </top>
      <bottom style="thin">
        <color indexed="8"/>
      </bottom>
      <diagonal/>
    </border>
    <border>
      <left/>
      <right style="thin">
        <color indexed="8"/>
      </right>
      <top style="double">
        <color indexed="64"/>
      </top>
      <bottom style="thin">
        <color indexed="8"/>
      </bottom>
      <diagonal/>
    </border>
    <border>
      <left style="thin">
        <color indexed="8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1" fillId="0" borderId="0">
      <alignment vertical="center"/>
    </xf>
  </cellStyleXfs>
  <cellXfs count="101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right" vertical="center" wrapText="1"/>
    </xf>
    <xf numFmtId="178" fontId="5" fillId="0" borderId="11" xfId="0" applyNumberFormat="1" applyFont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13" fillId="0" borderId="54" xfId="1" applyFont="1" applyFill="1" applyBorder="1" applyAlignment="1">
      <alignment vertical="center"/>
    </xf>
    <xf numFmtId="178" fontId="14" fillId="0" borderId="0" xfId="1" applyNumberFormat="1" applyFont="1" applyBorder="1" applyAlignment="1">
      <alignment vertical="center"/>
    </xf>
    <xf numFmtId="178" fontId="2" fillId="0" borderId="0" xfId="0" applyNumberFormat="1" applyFont="1" applyAlignment="1">
      <alignment vertical="center"/>
    </xf>
    <xf numFmtId="178" fontId="13" fillId="0" borderId="0" xfId="1" applyNumberFormat="1" applyFont="1" applyBorder="1" applyAlignment="1">
      <alignment horizontal="right" vertical="center"/>
    </xf>
    <xf numFmtId="178" fontId="5" fillId="0" borderId="55" xfId="0" applyNumberFormat="1" applyFont="1" applyBorder="1" applyAlignment="1">
      <alignment horizontal="center" vertical="center" wrapText="1"/>
    </xf>
    <xf numFmtId="178" fontId="5" fillId="0" borderId="5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1" fontId="5" fillId="0" borderId="8" xfId="0" applyNumberFormat="1" applyFont="1" applyBorder="1" applyAlignment="1">
      <alignment horizontal="center" vertical="center"/>
    </xf>
    <xf numFmtId="41" fontId="5" fillId="0" borderId="57" xfId="0" applyNumberFormat="1" applyFont="1" applyBorder="1" applyAlignment="1">
      <alignment horizontal="center" vertical="center"/>
    </xf>
    <xf numFmtId="179" fontId="5" fillId="0" borderId="9" xfId="0" applyNumberFormat="1" applyFont="1" applyBorder="1" applyAlignment="1">
      <alignment horizontal="center" vertical="center" wrapText="1"/>
    </xf>
    <xf numFmtId="179" fontId="5" fillId="0" borderId="11" xfId="0" applyNumberFormat="1" applyFont="1" applyBorder="1" applyAlignment="1">
      <alignment horizontal="center" vertical="center" wrapText="1"/>
    </xf>
    <xf numFmtId="179" fontId="13" fillId="0" borderId="0" xfId="1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 wrapText="1"/>
    </xf>
    <xf numFmtId="0" fontId="15" fillId="3" borderId="54" xfId="1" applyFont="1" applyFill="1" applyBorder="1" applyAlignment="1">
      <alignment horizontal="center" vertical="center"/>
    </xf>
    <xf numFmtId="178" fontId="16" fillId="3" borderId="0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41" fontId="6" fillId="0" borderId="57" xfId="0" applyNumberFormat="1" applyFont="1" applyBorder="1" applyAlignment="1">
      <alignment horizontal="center" vertical="center"/>
    </xf>
    <xf numFmtId="179" fontId="6" fillId="0" borderId="11" xfId="0" applyNumberFormat="1" applyFont="1" applyBorder="1" applyAlignment="1">
      <alignment horizontal="center" vertical="center" wrapText="1"/>
    </xf>
    <xf numFmtId="178" fontId="6" fillId="0" borderId="11" xfId="0" applyNumberFormat="1" applyFont="1" applyBorder="1" applyAlignment="1">
      <alignment horizontal="center" vertical="center" wrapText="1"/>
    </xf>
    <xf numFmtId="178" fontId="6" fillId="0" borderId="55" xfId="0" applyNumberFormat="1" applyFont="1" applyBorder="1" applyAlignment="1">
      <alignment horizontal="center" vertical="center" wrapText="1"/>
    </xf>
    <xf numFmtId="41" fontId="17" fillId="0" borderId="57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61" xfId="0" applyFont="1" applyBorder="1" applyAlignment="1">
      <alignment horizontal="left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7" fillId="0" borderId="48" xfId="0" applyFont="1" applyBorder="1" applyAlignment="1">
      <alignment horizontal="left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7" fillId="0" borderId="49" xfId="0" applyFont="1" applyBorder="1" applyAlignment="1">
      <alignment horizontal="left" vertical="center" wrapText="1"/>
    </xf>
    <xf numFmtId="0" fontId="7" fillId="0" borderId="50" xfId="0" applyFont="1" applyBorder="1" applyAlignment="1">
      <alignment horizontal="left" vertical="center" wrapText="1"/>
    </xf>
    <xf numFmtId="0" fontId="7" fillId="0" borderId="5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53" xfId="0" applyFont="1" applyBorder="1" applyAlignment="1">
      <alignment horizontal="left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176" fontId="7" fillId="2" borderId="36" xfId="0" applyNumberFormat="1" applyFont="1" applyFill="1" applyBorder="1" applyAlignment="1">
      <alignment horizontal="center" vertical="center"/>
    </xf>
    <xf numFmtId="176" fontId="7" fillId="2" borderId="35" xfId="0" applyNumberFormat="1" applyFont="1" applyFill="1" applyBorder="1" applyAlignment="1">
      <alignment horizontal="center" vertical="center"/>
    </xf>
    <xf numFmtId="176" fontId="7" fillId="0" borderId="18" xfId="0" applyNumberFormat="1" applyFont="1" applyBorder="1" applyAlignment="1">
      <alignment horizontal="left" vertical="center"/>
    </xf>
    <xf numFmtId="176" fontId="7" fillId="0" borderId="19" xfId="0" applyNumberFormat="1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6" fillId="0" borderId="58" xfId="0" applyFont="1" applyBorder="1" applyAlignment="1">
      <alignment horizontal="left" vertical="center" wrapText="1"/>
    </xf>
    <xf numFmtId="0" fontId="6" fillId="0" borderId="59" xfId="0" applyFont="1" applyBorder="1" applyAlignment="1">
      <alignment horizontal="left" vertical="center" wrapText="1"/>
    </xf>
    <xf numFmtId="0" fontId="6" fillId="0" borderId="6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7" fontId="5" fillId="0" borderId="31" xfId="0" applyNumberFormat="1" applyFont="1" applyBorder="1" applyAlignment="1">
      <alignment horizontal="left" vertical="center" wrapText="1"/>
    </xf>
    <xf numFmtId="177" fontId="5" fillId="0" borderId="32" xfId="0" applyNumberFormat="1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3">
    <cellStyle name="0,0_x000d__x000a_NA_x000d__x000a_ 10" xfId="1"/>
    <cellStyle name="一般" xfId="0" builtinId="0"/>
    <cellStyle name="一般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537882</xdr:colOff>
      <xdr:row>18</xdr:row>
      <xdr:rowOff>291353</xdr:rowOff>
    </xdr:from>
    <xdr:to>
      <xdr:col>6</xdr:col>
      <xdr:colOff>976807</xdr:colOff>
      <xdr:row>25</xdr:row>
      <xdr:rowOff>179456</xdr:rowOff>
    </xdr:to>
    <xdr:pic>
      <xdr:nvPicPr>
        <xdr:cNvPr id="3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9" t="2512" r="8871" b="7057"/>
        <a:stretch>
          <a:fillRect/>
        </a:stretch>
      </xdr:blipFill>
      <xdr:spPr bwMode="auto">
        <a:xfrm>
          <a:off x="6140823" y="7519147"/>
          <a:ext cx="2444778" cy="20844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zoomScale="85" zoomScaleNormal="85" workbookViewId="0">
      <selection activeCell="K3" sqref="K3:L6"/>
    </sheetView>
  </sheetViews>
  <sheetFormatPr defaultRowHeight="15"/>
  <cols>
    <col min="1" max="1" width="16.5" style="1" customWidth="1"/>
    <col min="2" max="2" width="33.75" style="1" customWidth="1"/>
    <col min="3" max="3" width="12.625" style="1" customWidth="1"/>
    <col min="4" max="5" width="10.625" style="1" customWidth="1"/>
    <col min="6" max="6" width="15.75" style="1" customWidth="1"/>
    <col min="7" max="7" width="17.125" style="1" customWidth="1"/>
    <col min="8" max="10" width="5.625" style="1" customWidth="1"/>
    <col min="11" max="12" width="12.625" style="1" customWidth="1"/>
    <col min="13" max="16384" width="9" style="1"/>
  </cols>
  <sheetData>
    <row r="1" spans="1:12" ht="94.5" customHeight="1" thickTop="1" thickBot="1">
      <c r="A1" s="39" t="s">
        <v>6</v>
      </c>
      <c r="B1" s="40"/>
      <c r="C1" s="40"/>
      <c r="D1" s="40"/>
      <c r="E1" s="40"/>
      <c r="F1" s="40"/>
      <c r="G1" s="40"/>
      <c r="H1" s="40"/>
      <c r="I1" s="40"/>
      <c r="J1" s="41"/>
    </row>
    <row r="2" spans="1:12" ht="41.25" customHeight="1" thickTop="1" thickBot="1">
      <c r="A2" s="59"/>
      <c r="B2" s="59"/>
      <c r="C2" s="59"/>
      <c r="D2" s="59"/>
      <c r="E2" s="59"/>
      <c r="F2" s="59"/>
      <c r="G2" s="59"/>
      <c r="H2" s="59"/>
      <c r="I2" s="59"/>
      <c r="J2" s="59"/>
    </row>
    <row r="3" spans="1:12" ht="24.95" customHeight="1" thickTop="1">
      <c r="A3" s="5" t="s">
        <v>7</v>
      </c>
      <c r="B3" s="42" t="s">
        <v>20</v>
      </c>
      <c r="C3" s="43"/>
      <c r="D3" s="44"/>
      <c r="E3" s="45" t="s">
        <v>8</v>
      </c>
      <c r="F3" s="46"/>
      <c r="G3" s="47">
        <v>76014406</v>
      </c>
      <c r="H3" s="48"/>
      <c r="I3" s="48"/>
      <c r="J3" s="49"/>
      <c r="K3" s="99"/>
      <c r="L3" s="100"/>
    </row>
    <row r="4" spans="1:12" ht="24.95" customHeight="1">
      <c r="A4" s="6" t="s">
        <v>5</v>
      </c>
      <c r="B4" s="50"/>
      <c r="C4" s="51"/>
      <c r="D4" s="51"/>
      <c r="E4" s="51"/>
      <c r="F4" s="51"/>
      <c r="G4" s="51"/>
      <c r="H4" s="51"/>
      <c r="I4" s="51"/>
      <c r="J4" s="52"/>
      <c r="K4" s="99"/>
      <c r="L4" s="100"/>
    </row>
    <row r="5" spans="1:12" ht="24.95" customHeight="1">
      <c r="A5" s="7" t="s">
        <v>3</v>
      </c>
      <c r="B5" s="56"/>
      <c r="C5" s="57"/>
      <c r="D5" s="57"/>
      <c r="E5" s="57"/>
      <c r="F5" s="57"/>
      <c r="G5" s="57"/>
      <c r="H5" s="57"/>
      <c r="I5" s="57"/>
      <c r="J5" s="58"/>
      <c r="K5" s="99"/>
      <c r="L5" s="100"/>
    </row>
    <row r="6" spans="1:12" ht="24.95" customHeight="1" thickBot="1">
      <c r="A6" s="8" t="s">
        <v>4</v>
      </c>
      <c r="B6" s="60"/>
      <c r="C6" s="61"/>
      <c r="D6" s="62"/>
      <c r="E6" s="63" t="s">
        <v>9</v>
      </c>
      <c r="F6" s="64"/>
      <c r="G6" s="65">
        <f ca="1">TODAY()</f>
        <v>44454</v>
      </c>
      <c r="H6" s="65"/>
      <c r="I6" s="65"/>
      <c r="J6" s="66"/>
      <c r="K6" s="99"/>
      <c r="L6" s="100"/>
    </row>
    <row r="7" spans="1:12" ht="45" customHeight="1" thickTop="1" thickBot="1">
      <c r="A7" s="67" t="s">
        <v>16</v>
      </c>
      <c r="B7" s="67"/>
      <c r="C7" s="67"/>
      <c r="D7" s="67"/>
      <c r="E7" s="67"/>
      <c r="F7" s="67"/>
      <c r="G7" s="67"/>
      <c r="H7" s="67"/>
      <c r="I7" s="67"/>
      <c r="J7" s="67"/>
    </row>
    <row r="8" spans="1:12" s="2" customFormat="1" ht="42.75" customHeight="1" thickTop="1" thickBot="1">
      <c r="A8" s="71" t="s">
        <v>22</v>
      </c>
      <c r="B8" s="69"/>
      <c r="C8" s="72"/>
      <c r="D8" s="9" t="s">
        <v>0</v>
      </c>
      <c r="E8" s="9" t="s">
        <v>10</v>
      </c>
      <c r="F8" s="9" t="s">
        <v>1</v>
      </c>
      <c r="G8" s="9" t="s">
        <v>11</v>
      </c>
      <c r="H8" s="68" t="s">
        <v>2</v>
      </c>
      <c r="I8" s="69"/>
      <c r="J8" s="70"/>
      <c r="K8" s="13" t="s">
        <v>18</v>
      </c>
      <c r="L8" s="14" t="s">
        <v>19</v>
      </c>
    </row>
    <row r="9" spans="1:12" ht="24.95" customHeight="1">
      <c r="A9" s="73" t="s">
        <v>23</v>
      </c>
      <c r="B9" s="74"/>
      <c r="C9" s="75"/>
      <c r="D9" s="4" t="s">
        <v>24</v>
      </c>
      <c r="E9" s="22" t="s">
        <v>17</v>
      </c>
      <c r="F9" s="24">
        <v>61846</v>
      </c>
      <c r="G9" s="20">
        <v>61846</v>
      </c>
      <c r="H9" s="53"/>
      <c r="I9" s="54"/>
      <c r="J9" s="55"/>
      <c r="K9" s="26">
        <v>16000</v>
      </c>
      <c r="L9" s="18">
        <v>16000</v>
      </c>
    </row>
    <row r="10" spans="1:12" ht="24.95" customHeight="1">
      <c r="A10" s="36" t="s">
        <v>25</v>
      </c>
      <c r="B10" s="37"/>
      <c r="C10" s="38"/>
      <c r="D10" s="27"/>
      <c r="E10" s="23"/>
      <c r="F10" s="25"/>
      <c r="G10" s="19"/>
      <c r="H10" s="76"/>
      <c r="I10" s="76"/>
      <c r="J10" s="77"/>
      <c r="K10" s="26"/>
      <c r="L10" s="18"/>
    </row>
    <row r="11" spans="1:12" ht="24.95" customHeight="1">
      <c r="A11" s="36"/>
      <c r="B11" s="37"/>
      <c r="C11" s="38"/>
      <c r="D11" s="21"/>
      <c r="E11" s="23"/>
      <c r="F11" s="25"/>
      <c r="G11" s="12"/>
      <c r="H11" s="76"/>
      <c r="I11" s="76"/>
      <c r="J11" s="77"/>
      <c r="K11" s="26"/>
      <c r="L11" s="18"/>
    </row>
    <row r="12" spans="1:12" ht="24.95" customHeight="1">
      <c r="A12" s="36"/>
      <c r="B12" s="37"/>
      <c r="C12" s="38"/>
      <c r="D12" s="30"/>
      <c r="E12" s="31"/>
      <c r="F12" s="32"/>
      <c r="G12" s="33"/>
      <c r="H12" s="78"/>
      <c r="I12" s="78"/>
      <c r="J12" s="79"/>
      <c r="K12" s="26"/>
      <c r="L12" s="18"/>
    </row>
    <row r="13" spans="1:12" ht="24.95" customHeight="1">
      <c r="A13" s="36"/>
      <c r="B13" s="37"/>
      <c r="C13" s="38"/>
      <c r="D13" s="30"/>
      <c r="E13" s="31"/>
      <c r="F13" s="32"/>
      <c r="G13" s="33"/>
      <c r="H13" s="78"/>
      <c r="I13" s="78"/>
      <c r="J13" s="79"/>
      <c r="K13" s="26"/>
      <c r="L13" s="18"/>
    </row>
    <row r="14" spans="1:12" ht="24.95" customHeight="1">
      <c r="A14" s="36"/>
      <c r="B14" s="37"/>
      <c r="C14" s="38"/>
      <c r="D14" s="30"/>
      <c r="E14" s="31"/>
      <c r="F14" s="32"/>
      <c r="G14" s="34"/>
      <c r="H14" s="78"/>
      <c r="I14" s="78"/>
      <c r="J14" s="79"/>
      <c r="K14" s="26"/>
      <c r="L14" s="18"/>
    </row>
    <row r="15" spans="1:12" ht="24.95" customHeight="1">
      <c r="A15" s="36"/>
      <c r="B15" s="37"/>
      <c r="C15" s="38"/>
      <c r="D15" s="30"/>
      <c r="E15" s="31"/>
      <c r="F15" s="32"/>
      <c r="G15" s="33"/>
      <c r="H15" s="78"/>
      <c r="I15" s="78"/>
      <c r="J15" s="79"/>
      <c r="K15" s="26"/>
      <c r="L15" s="18"/>
    </row>
    <row r="16" spans="1:12" ht="24.95" customHeight="1">
      <c r="A16" s="36"/>
      <c r="B16" s="37"/>
      <c r="C16" s="38"/>
      <c r="D16" s="30"/>
      <c r="E16" s="31"/>
      <c r="F16" s="32"/>
      <c r="G16" s="34"/>
      <c r="H16" s="78"/>
      <c r="I16" s="78"/>
      <c r="J16" s="79"/>
      <c r="K16" s="26"/>
      <c r="L16" s="18"/>
    </row>
    <row r="17" spans="1:12" ht="24.95" customHeight="1">
      <c r="A17" s="36"/>
      <c r="B17" s="37"/>
      <c r="C17" s="38"/>
      <c r="D17" s="30"/>
      <c r="E17" s="31"/>
      <c r="F17" s="32"/>
      <c r="G17" s="33"/>
      <c r="H17" s="78"/>
      <c r="I17" s="78"/>
      <c r="J17" s="79"/>
      <c r="K17" s="26"/>
      <c r="L17" s="18"/>
    </row>
    <row r="18" spans="1:12" ht="24.95" customHeight="1">
      <c r="A18" s="36"/>
      <c r="B18" s="37"/>
      <c r="C18" s="38"/>
      <c r="D18" s="30"/>
      <c r="E18" s="31"/>
      <c r="F18" s="32"/>
      <c r="G18" s="33"/>
      <c r="H18" s="78"/>
      <c r="I18" s="78"/>
      <c r="J18" s="79"/>
      <c r="K18" s="26"/>
      <c r="L18" s="18"/>
    </row>
    <row r="19" spans="1:12" ht="24.95" customHeight="1">
      <c r="A19" s="36"/>
      <c r="B19" s="37"/>
      <c r="C19" s="38"/>
      <c r="D19" s="30"/>
      <c r="E19" s="31"/>
      <c r="F19" s="32"/>
      <c r="G19" s="33"/>
      <c r="H19" s="78"/>
      <c r="I19" s="78"/>
      <c r="J19" s="79"/>
      <c r="K19" s="26"/>
      <c r="L19" s="18"/>
    </row>
    <row r="20" spans="1:12" ht="24.95" customHeight="1">
      <c r="A20" s="36"/>
      <c r="B20" s="37"/>
      <c r="C20" s="38"/>
      <c r="D20" s="30"/>
      <c r="E20" s="31"/>
      <c r="F20" s="32"/>
      <c r="G20" s="33"/>
      <c r="H20" s="78"/>
      <c r="I20" s="78"/>
      <c r="J20" s="79"/>
      <c r="K20" s="26"/>
      <c r="L20" s="18"/>
    </row>
    <row r="21" spans="1:12" ht="24.95" customHeight="1">
      <c r="A21" s="36"/>
      <c r="B21" s="37"/>
      <c r="C21" s="38"/>
      <c r="D21" s="30"/>
      <c r="E21" s="31"/>
      <c r="F21" s="32"/>
      <c r="G21" s="33"/>
      <c r="H21" s="78"/>
      <c r="I21" s="78"/>
      <c r="J21" s="79"/>
      <c r="K21" s="26"/>
      <c r="L21" s="18"/>
    </row>
    <row r="22" spans="1:12" ht="24.95" customHeight="1">
      <c r="A22" s="36"/>
      <c r="B22" s="37"/>
      <c r="C22" s="38"/>
      <c r="D22" s="30"/>
      <c r="E22" s="31"/>
      <c r="F22" s="32"/>
      <c r="G22" s="33"/>
      <c r="H22" s="78"/>
      <c r="I22" s="78"/>
      <c r="J22" s="79"/>
      <c r="K22" s="26"/>
      <c r="L22" s="18"/>
    </row>
    <row r="23" spans="1:12" ht="24.95" customHeight="1">
      <c r="A23" s="36"/>
      <c r="B23" s="37"/>
      <c r="C23" s="38"/>
      <c r="D23" s="30"/>
      <c r="E23" s="31"/>
      <c r="F23" s="32"/>
      <c r="G23" s="33"/>
      <c r="H23" s="78"/>
      <c r="I23" s="78"/>
      <c r="J23" s="79"/>
      <c r="K23" s="26"/>
      <c r="L23" s="18"/>
    </row>
    <row r="24" spans="1:12" ht="24.95" customHeight="1">
      <c r="A24" s="36"/>
      <c r="B24" s="37"/>
      <c r="C24" s="38"/>
      <c r="D24" s="30"/>
      <c r="E24" s="31"/>
      <c r="F24" s="32"/>
      <c r="G24" s="33"/>
      <c r="H24" s="78"/>
      <c r="I24" s="78"/>
      <c r="J24" s="79"/>
      <c r="K24" s="26"/>
      <c r="L24" s="18"/>
    </row>
    <row r="25" spans="1:12" ht="24.95" customHeight="1">
      <c r="A25" s="36"/>
      <c r="B25" s="37"/>
      <c r="C25" s="38"/>
      <c r="D25" s="30"/>
      <c r="E25" s="35"/>
      <c r="F25" s="32"/>
      <c r="G25" s="33"/>
      <c r="H25" s="78"/>
      <c r="I25" s="78"/>
      <c r="J25" s="79"/>
      <c r="K25" s="26"/>
      <c r="L25" s="18"/>
    </row>
    <row r="26" spans="1:12" ht="24.95" customHeight="1">
      <c r="A26" s="36"/>
      <c r="B26" s="37"/>
      <c r="C26" s="38"/>
      <c r="D26" s="30"/>
      <c r="E26" s="31"/>
      <c r="F26" s="32"/>
      <c r="G26" s="33"/>
      <c r="H26" s="78"/>
      <c r="I26" s="78"/>
      <c r="J26" s="79"/>
      <c r="K26" s="26"/>
      <c r="L26" s="18"/>
    </row>
    <row r="27" spans="1:12" ht="24.95" customHeight="1">
      <c r="A27" s="36"/>
      <c r="B27" s="37"/>
      <c r="C27" s="38"/>
      <c r="D27" s="30"/>
      <c r="E27" s="31"/>
      <c r="F27" s="32"/>
      <c r="G27" s="33"/>
      <c r="H27" s="78"/>
      <c r="I27" s="78"/>
      <c r="J27" s="79"/>
      <c r="K27" s="26"/>
      <c r="L27" s="18"/>
    </row>
    <row r="28" spans="1:12" ht="24.95" customHeight="1">
      <c r="A28" s="36"/>
      <c r="B28" s="37"/>
      <c r="C28" s="38"/>
      <c r="D28" s="30"/>
      <c r="E28" s="31"/>
      <c r="F28" s="32"/>
      <c r="G28" s="33"/>
      <c r="H28" s="78"/>
      <c r="I28" s="78"/>
      <c r="J28" s="79"/>
      <c r="K28" s="26"/>
      <c r="L28" s="18"/>
    </row>
    <row r="29" spans="1:12" ht="24.95" customHeight="1">
      <c r="A29" s="91"/>
      <c r="B29" s="92"/>
      <c r="C29" s="92"/>
      <c r="D29" s="92"/>
      <c r="E29" s="92"/>
      <c r="F29" s="92"/>
      <c r="G29" s="92"/>
      <c r="H29" s="92"/>
      <c r="I29" s="92"/>
      <c r="J29" s="93"/>
      <c r="K29" s="15"/>
      <c r="L29" s="16"/>
    </row>
    <row r="30" spans="1:12" s="3" customFormat="1" ht="20.100000000000001" customHeight="1">
      <c r="A30" s="10" t="s">
        <v>12</v>
      </c>
      <c r="B30" s="95">
        <f>SUM(G9:G28)</f>
        <v>61846</v>
      </c>
      <c r="C30" s="96"/>
      <c r="D30" s="97"/>
      <c r="E30" s="97"/>
      <c r="F30" s="97"/>
      <c r="G30" s="97"/>
      <c r="H30" s="97"/>
      <c r="I30" s="97"/>
      <c r="J30" s="98"/>
      <c r="L30" s="17">
        <f>SUM(L9:L29)</f>
        <v>16000</v>
      </c>
    </row>
    <row r="31" spans="1:12" s="3" customFormat="1" ht="20.100000000000001" customHeight="1">
      <c r="A31" s="10" t="s">
        <v>13</v>
      </c>
      <c r="B31" s="95">
        <f>B30*0.05</f>
        <v>3092.3</v>
      </c>
      <c r="C31" s="96"/>
      <c r="D31" s="97"/>
      <c r="E31" s="97"/>
      <c r="F31" s="97"/>
      <c r="G31" s="97"/>
      <c r="H31" s="97"/>
      <c r="I31" s="97"/>
      <c r="J31" s="98"/>
      <c r="L31" s="17">
        <f>L30*0.05</f>
        <v>800</v>
      </c>
    </row>
    <row r="32" spans="1:12" s="3" customFormat="1" ht="20.100000000000001" customHeight="1">
      <c r="A32" s="11" t="s">
        <v>14</v>
      </c>
      <c r="B32" s="95">
        <f>SUM(B30:B31)</f>
        <v>64938.3</v>
      </c>
      <c r="C32" s="96"/>
      <c r="D32" s="97"/>
      <c r="E32" s="97"/>
      <c r="F32" s="97"/>
      <c r="G32" s="97"/>
      <c r="H32" s="97"/>
      <c r="I32" s="97"/>
      <c r="J32" s="98"/>
      <c r="L32" s="17">
        <f>SUM(L30:L31)</f>
        <v>16800</v>
      </c>
    </row>
    <row r="33" spans="1:12" s="3" customFormat="1" ht="39" customHeight="1" thickBot="1">
      <c r="A33" s="80" t="s">
        <v>21</v>
      </c>
      <c r="B33" s="81"/>
      <c r="C33" s="81"/>
      <c r="D33" s="81"/>
      <c r="E33" s="81"/>
      <c r="F33" s="81"/>
      <c r="G33" s="81"/>
      <c r="H33" s="81"/>
      <c r="I33" s="81"/>
      <c r="J33" s="82"/>
      <c r="K33" s="28" t="s">
        <v>26</v>
      </c>
      <c r="L33" s="29">
        <f>B32-L32</f>
        <v>48138.3</v>
      </c>
    </row>
    <row r="34" spans="1:12" s="3" customFormat="1" ht="37.5" customHeight="1" thickTop="1" thickBo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28" t="s">
        <v>27</v>
      </c>
      <c r="L34" s="29">
        <f>B30-L30</f>
        <v>45846</v>
      </c>
    </row>
    <row r="35" spans="1:12" s="3" customFormat="1" ht="29.25" customHeight="1" thickTop="1">
      <c r="A35" s="83" t="s">
        <v>15</v>
      </c>
      <c r="B35" s="85"/>
      <c r="C35" s="86"/>
      <c r="D35" s="86"/>
      <c r="E35" s="86"/>
      <c r="F35" s="86"/>
      <c r="G35" s="86"/>
      <c r="H35" s="86"/>
      <c r="I35" s="86"/>
      <c r="J35" s="87"/>
    </row>
    <row r="36" spans="1:12" s="3" customFormat="1" ht="147.75" customHeight="1" thickBot="1">
      <c r="A36" s="84"/>
      <c r="B36" s="88"/>
      <c r="C36" s="89"/>
      <c r="D36" s="89"/>
      <c r="E36" s="89"/>
      <c r="F36" s="89"/>
      <c r="G36" s="89"/>
      <c r="H36" s="89"/>
      <c r="I36" s="89"/>
      <c r="J36" s="90"/>
    </row>
    <row r="37" spans="1:12" ht="18.75" thickTop="1">
      <c r="A37" s="3"/>
    </row>
  </sheetData>
  <mergeCells count="63">
    <mergeCell ref="K3:L6"/>
    <mergeCell ref="H22:J22"/>
    <mergeCell ref="A33:J33"/>
    <mergeCell ref="A35:A36"/>
    <mergeCell ref="B35:J36"/>
    <mergeCell ref="A29:J29"/>
    <mergeCell ref="A34:J34"/>
    <mergeCell ref="B30:C30"/>
    <mergeCell ref="D30:J32"/>
    <mergeCell ref="B31:C31"/>
    <mergeCell ref="B32:C32"/>
    <mergeCell ref="H23:J23"/>
    <mergeCell ref="H28:J28"/>
    <mergeCell ref="H27:J27"/>
    <mergeCell ref="H24:J24"/>
    <mergeCell ref="H25:J25"/>
    <mergeCell ref="H26:J26"/>
    <mergeCell ref="H10:J10"/>
    <mergeCell ref="H21:J21"/>
    <mergeCell ref="H11:J11"/>
    <mergeCell ref="H12:J12"/>
    <mergeCell ref="H17:J17"/>
    <mergeCell ref="H18:J18"/>
    <mergeCell ref="H20:J20"/>
    <mergeCell ref="H13:J13"/>
    <mergeCell ref="H15:J15"/>
    <mergeCell ref="H19:J19"/>
    <mergeCell ref="H16:J16"/>
    <mergeCell ref="H14:J14"/>
    <mergeCell ref="A15:C15"/>
    <mergeCell ref="A16:C16"/>
    <mergeCell ref="A17:C17"/>
    <mergeCell ref="A18:C18"/>
    <mergeCell ref="A19:C19"/>
    <mergeCell ref="H9:J9"/>
    <mergeCell ref="B5:J5"/>
    <mergeCell ref="A2:J2"/>
    <mergeCell ref="B6:D6"/>
    <mergeCell ref="E6:F6"/>
    <mergeCell ref="G6:J6"/>
    <mergeCell ref="A7:J7"/>
    <mergeCell ref="H8:J8"/>
    <mergeCell ref="A8:C8"/>
    <mergeCell ref="A9:C9"/>
    <mergeCell ref="A1:J1"/>
    <mergeCell ref="B3:D3"/>
    <mergeCell ref="E3:F3"/>
    <mergeCell ref="G3:J3"/>
    <mergeCell ref="B4:J4"/>
    <mergeCell ref="A10:C10"/>
    <mergeCell ref="A11:C11"/>
    <mergeCell ref="A12:C12"/>
    <mergeCell ref="A13:C13"/>
    <mergeCell ref="A14:C14"/>
    <mergeCell ref="A28:C28"/>
    <mergeCell ref="A20:C20"/>
    <mergeCell ref="A21:C21"/>
    <mergeCell ref="A22:C22"/>
    <mergeCell ref="A23:C23"/>
    <mergeCell ref="A24:C24"/>
    <mergeCell ref="A25:C25"/>
    <mergeCell ref="A26:C26"/>
    <mergeCell ref="A27:C27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皇佳</vt:lpstr>
      <vt:lpstr>皇佳!Print_Area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Windows 使用者</cp:lastModifiedBy>
  <cp:lastPrinted>2019-05-27T09:42:55Z</cp:lastPrinted>
  <dcterms:created xsi:type="dcterms:W3CDTF">2004-04-01T13:01:15Z</dcterms:created>
  <dcterms:modified xsi:type="dcterms:W3CDTF">2021-09-15T08:50:09Z</dcterms:modified>
</cp:coreProperties>
</file>