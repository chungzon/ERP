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Pro\ERP\template\"/>
    </mc:Choice>
  </mc:AlternateContent>
  <bookViews>
    <workbookView xWindow="555" yWindow="600" windowWidth="14805" windowHeight="12105"/>
  </bookViews>
  <sheets>
    <sheet name="福大興" sheetId="1" r:id="rId1"/>
  </sheets>
  <definedNames>
    <definedName name="_xlnm.Print_Area" localSheetId="0">福大興!$A$1:$G$40</definedName>
  </definedNames>
  <calcPr calcId="152511"/>
</workbook>
</file>

<file path=xl/calcChain.xml><?xml version="1.0" encoding="utf-8"?>
<calcChain xmlns="http://schemas.openxmlformats.org/spreadsheetml/2006/main">
  <c r="I37" i="1" l="1"/>
  <c r="I13" i="1" l="1"/>
  <c r="G13" i="1"/>
  <c r="I35" i="1" l="1"/>
  <c r="G35" i="1"/>
  <c r="I36" i="1" l="1"/>
  <c r="G4" i="1"/>
</calcChain>
</file>

<file path=xl/sharedStrings.xml><?xml version="1.0" encoding="utf-8"?>
<sst xmlns="http://schemas.openxmlformats.org/spreadsheetml/2006/main" count="31" uniqueCount="31">
  <si>
    <t>福大興科技有限公司</t>
    <phoneticPr fontId="1" type="noConversion"/>
  </si>
  <si>
    <t>高雄市苓雅區自強三路3號28樓之12</t>
    <phoneticPr fontId="1" type="noConversion"/>
  </si>
  <si>
    <t>客戶名稱：</t>
    <phoneticPr fontId="1" type="noConversion"/>
  </si>
  <si>
    <t>客戶統編：</t>
    <phoneticPr fontId="1" type="noConversion"/>
  </si>
  <si>
    <t>聯  絡  人：</t>
    <phoneticPr fontId="1" type="noConversion"/>
  </si>
  <si>
    <t>國立高雄師範大學-圖資處</t>
    <phoneticPr fontId="1" type="noConversion"/>
  </si>
  <si>
    <t>朱淑惠</t>
    <phoneticPr fontId="1" type="noConversion"/>
  </si>
  <si>
    <t>1.本報價有效期限20天內有效</t>
    <phoneticPr fontId="1" type="noConversion"/>
  </si>
  <si>
    <t>2.含加值營業稅</t>
    <phoneticPr fontId="1" type="noConversion"/>
  </si>
  <si>
    <t>3.本單經客戶認簽後視同訂單成立</t>
    <phoneticPr fontId="1" type="noConversion"/>
  </si>
  <si>
    <t>項次</t>
    <phoneticPr fontId="1" type="noConversion"/>
  </si>
  <si>
    <t>品　　名　／　規　　格</t>
    <phoneticPr fontId="1" type="noConversion"/>
  </si>
  <si>
    <t>數量</t>
    <phoneticPr fontId="1" type="noConversion"/>
  </si>
  <si>
    <t>單位</t>
    <phoneticPr fontId="1" type="noConversion"/>
  </si>
  <si>
    <t>單價</t>
    <phoneticPr fontId="1" type="noConversion"/>
  </si>
  <si>
    <t>報價日期：</t>
    <phoneticPr fontId="1" type="noConversion"/>
  </si>
  <si>
    <t>TEL：07-7172930轉1681</t>
    <phoneticPr fontId="1" type="noConversion"/>
  </si>
  <si>
    <t>客　戶　報　價　單</t>
    <phoneticPr fontId="1" type="noConversion"/>
  </si>
  <si>
    <t>備　註　欄</t>
    <phoneticPr fontId="1" type="noConversion"/>
  </si>
  <si>
    <t>小計</t>
    <phoneticPr fontId="1" type="noConversion"/>
  </si>
  <si>
    <t>總計(含稅)：</t>
    <phoneticPr fontId="1" type="noConversion"/>
  </si>
  <si>
    <t>Batch price</t>
    <phoneticPr fontId="6" type="noConversion"/>
  </si>
  <si>
    <t>BP小計</t>
    <phoneticPr fontId="6" type="noConversion"/>
  </si>
  <si>
    <t>AVR8816A-32路監控主機(DVR3254LX)</t>
    <phoneticPr fontId="1" type="noConversion"/>
  </si>
  <si>
    <t>1</t>
  </si>
  <si>
    <t>台</t>
  </si>
  <si>
    <t>總計(新台幣)：零 佰 零 拾 玖 萬 壹 仟 捌 佰 肆 拾 玖 元整</t>
    <phoneticPr fontId="1" type="noConversion"/>
  </si>
  <si>
    <t>以下空白</t>
    <phoneticPr fontId="1" type="noConversion"/>
  </si>
  <si>
    <t>TEL：07-5537018　　FAX：</t>
    <phoneticPr fontId="1" type="noConversion"/>
  </si>
  <si>
    <t>利潤(含稅)</t>
    <phoneticPr fontId="6" type="noConversion"/>
  </si>
  <si>
    <t>利潤(未稅)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</si>
</sst>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$&quot;#,##0_);[Red]\(&quot;$&quot;#,##0\)"/>
    <numFmt numFmtId="177" formatCode="&quot;$&quot;#,##0"/>
    <numFmt numFmtId="178" formatCode="&quot;$&quot;#,##0.0_);[Red]\(&quot;$&quot;#,##0.0\)"/>
  </numFmts>
  <fonts count="1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b/>
      <sz val="12"/>
      <name val="Times New Roman"/>
      <family val="1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4"/>
      <color theme="1"/>
      <name val="新細明體"/>
      <family val="2"/>
      <charset val="136"/>
      <scheme val="minor"/>
    </font>
    <font>
      <sz val="14"/>
      <color indexed="8"/>
      <name val="新細明體"/>
      <family val="1"/>
      <charset val="136"/>
    </font>
    <font>
      <b/>
      <sz val="14"/>
      <color rgb="FFFF0000"/>
      <name val="新細明體"/>
      <family val="1"/>
      <charset val="136"/>
      <scheme val="minor"/>
    </font>
    <font>
      <b/>
      <sz val="30"/>
      <color theme="1"/>
      <name val="新細明體"/>
      <family val="1"/>
      <charset val="136"/>
      <scheme val="minor"/>
    </font>
    <font>
      <b/>
      <sz val="14"/>
      <color rgb="FFFF0000"/>
      <name val="細明體"/>
      <family val="3"/>
      <charset val="136"/>
    </font>
    <font>
      <sz val="30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7" fontId="2" fillId="0" borderId="3" xfId="0" applyNumberFormat="1" applyFont="1" applyBorder="1" applyAlignment="1">
      <alignment vertical="center"/>
    </xf>
    <xf numFmtId="177" fontId="2" fillId="0" borderId="0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177" fontId="2" fillId="0" borderId="0" xfId="0" applyNumberFormat="1" applyFont="1" applyBorder="1" applyAlignment="1">
      <alignment horizontal="right" vertical="center"/>
    </xf>
    <xf numFmtId="0" fontId="5" fillId="2" borderId="0" xfId="1" applyFont="1" applyFill="1" applyAlignment="1">
      <alignment horizontal="center" vertical="center"/>
    </xf>
    <xf numFmtId="0" fontId="7" fillId="3" borderId="0" xfId="1" applyFont="1" applyFill="1" applyAlignment="1">
      <alignment horizontal="center" vertical="center"/>
    </xf>
    <xf numFmtId="0" fontId="8" fillId="0" borderId="0" xfId="0" applyFont="1">
      <alignment vertical="center"/>
    </xf>
    <xf numFmtId="176" fontId="9" fillId="0" borderId="0" xfId="1" applyNumberFormat="1" applyFont="1" applyBorder="1" applyAlignment="1">
      <alignment horizontal="right" vertical="center"/>
    </xf>
    <xf numFmtId="176" fontId="10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9" fillId="0" borderId="0" xfId="1" applyNumberFormat="1" applyFont="1" applyBorder="1" applyAlignment="1">
      <alignment horizontal="right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right" vertical="center"/>
    </xf>
    <xf numFmtId="14" fontId="0" fillId="0" borderId="4" xfId="0" applyNumberFormat="1" applyBorder="1">
      <alignment vertical="center"/>
    </xf>
    <xf numFmtId="0" fontId="11" fillId="0" borderId="0" xfId="0" applyFont="1" applyAlignment="1">
      <alignment horizontal="left" vertical="center"/>
    </xf>
    <xf numFmtId="0" fontId="12" fillId="2" borderId="0" xfId="1" applyFont="1" applyFill="1" applyBorder="1" applyAlignment="1">
      <alignment horizontal="center" vertical="center"/>
    </xf>
    <xf numFmtId="176" fontId="12" fillId="2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center"/>
    </xf>
    <xf numFmtId="177" fontId="2" fillId="0" borderId="3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177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2">
    <cellStyle name="0,0_x000d__x000a_NA_x000d__x000a_ 10" xfId="1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zoomScale="80" zoomScaleNormal="80" workbookViewId="0">
      <pane ySplit="1" topLeftCell="A14" activePane="bottomLeft" state="frozen"/>
      <selection pane="bottomLeft" activeCell="E25" sqref="E25"/>
    </sheetView>
  </sheetViews>
  <sheetFormatPr defaultRowHeight="16.5"/>
  <cols>
    <col min="1" max="2" width="6" customWidth="1"/>
    <col min="3" max="3" width="50.25" customWidth="1"/>
    <col min="4" max="5" width="7.125" customWidth="1"/>
    <col min="6" max="6" width="11.625" customWidth="1"/>
    <col min="7" max="7" width="12.625" customWidth="1"/>
    <col min="8" max="8" width="15.75" customWidth="1"/>
    <col min="9" max="9" width="14.75" customWidth="1"/>
  </cols>
  <sheetData>
    <row r="1" spans="1:9" ht="41.25">
      <c r="C1" s="25" t="s">
        <v>0</v>
      </c>
      <c r="F1" s="30" t="s">
        <v>17</v>
      </c>
      <c r="G1" s="30"/>
    </row>
    <row r="2" spans="1:9" ht="21" customHeight="1">
      <c r="C2" t="s">
        <v>1</v>
      </c>
    </row>
    <row r="3" spans="1:9" ht="21" customHeight="1" thickBot="1">
      <c r="C3" t="s">
        <v>28</v>
      </c>
    </row>
    <row r="4" spans="1:9" ht="21" customHeight="1">
      <c r="A4" s="31" t="s">
        <v>2</v>
      </c>
      <c r="B4" s="31"/>
      <c r="C4" s="22" t="s">
        <v>5</v>
      </c>
      <c r="D4" s="22"/>
      <c r="E4" s="22"/>
      <c r="F4" s="23" t="s">
        <v>15</v>
      </c>
      <c r="G4" s="24">
        <f ca="1">TODAY()</f>
        <v>44454</v>
      </c>
    </row>
    <row r="5" spans="1:9" ht="21" customHeight="1">
      <c r="A5" s="33"/>
      <c r="B5" s="33"/>
      <c r="C5" t="s">
        <v>16</v>
      </c>
    </row>
    <row r="6" spans="1:9" ht="21" customHeight="1">
      <c r="A6" s="33" t="s">
        <v>3</v>
      </c>
      <c r="B6" s="33"/>
      <c r="C6" s="2">
        <v>76014404</v>
      </c>
    </row>
    <row r="7" spans="1:9" ht="21" customHeight="1" thickBot="1">
      <c r="A7" s="35" t="s">
        <v>4</v>
      </c>
      <c r="B7" s="35"/>
      <c r="C7" s="3" t="s">
        <v>6</v>
      </c>
      <c r="D7" s="3"/>
      <c r="E7" s="3"/>
      <c r="F7" s="3"/>
      <c r="G7" s="3"/>
    </row>
    <row r="8" spans="1:9" ht="21" customHeight="1" thickTop="1">
      <c r="A8" t="s">
        <v>7</v>
      </c>
      <c r="H8" s="28"/>
      <c r="I8" s="29"/>
    </row>
    <row r="9" spans="1:9" ht="21" customHeight="1">
      <c r="A9" t="s">
        <v>8</v>
      </c>
      <c r="H9" s="29"/>
      <c r="I9" s="29"/>
    </row>
    <row r="10" spans="1:9" ht="21" customHeight="1">
      <c r="A10" t="s">
        <v>9</v>
      </c>
      <c r="H10" s="29"/>
      <c r="I10" s="29"/>
    </row>
    <row r="11" spans="1:9" ht="9.75" customHeight="1" thickBot="1">
      <c r="A11" s="3"/>
      <c r="B11" s="3"/>
      <c r="C11" s="3"/>
      <c r="D11" s="3"/>
      <c r="E11" s="3"/>
      <c r="F11" s="3"/>
      <c r="G11" s="3"/>
    </row>
    <row r="12" spans="1:9" s="1" customFormat="1" ht="24.95" customHeight="1" thickTop="1" thickBot="1">
      <c r="A12" s="4" t="s">
        <v>10</v>
      </c>
      <c r="B12" s="4"/>
      <c r="C12" s="4" t="s">
        <v>11</v>
      </c>
      <c r="D12" s="4" t="s">
        <v>12</v>
      </c>
      <c r="E12" s="4" t="s">
        <v>13</v>
      </c>
      <c r="F12" s="4" t="s">
        <v>14</v>
      </c>
      <c r="G12" s="4" t="s">
        <v>19</v>
      </c>
      <c r="H12" s="15" t="s">
        <v>21</v>
      </c>
      <c r="I12" s="16" t="s">
        <v>22</v>
      </c>
    </row>
    <row r="13" spans="1:9" ht="24.95" customHeight="1">
      <c r="A13" s="1">
        <v>1</v>
      </c>
      <c r="B13" s="36" t="s">
        <v>23</v>
      </c>
      <c r="C13" s="36"/>
      <c r="D13" s="1" t="s">
        <v>24</v>
      </c>
      <c r="E13" s="8" t="s">
        <v>25</v>
      </c>
      <c r="F13" s="20">
        <v>64939</v>
      </c>
      <c r="G13" s="7">
        <f>D13*F13</f>
        <v>64939</v>
      </c>
      <c r="H13" s="21">
        <v>16800</v>
      </c>
      <c r="I13" s="18">
        <f>D13*H13</f>
        <v>16800</v>
      </c>
    </row>
    <row r="14" spans="1:9" ht="24.95" customHeight="1">
      <c r="A14" s="1">
        <v>2</v>
      </c>
      <c r="B14" s="34" t="s">
        <v>27</v>
      </c>
      <c r="C14" s="34"/>
      <c r="D14" s="1"/>
      <c r="E14" s="8"/>
      <c r="F14" s="20"/>
      <c r="G14" s="7"/>
      <c r="H14" s="21"/>
      <c r="I14" s="18"/>
    </row>
    <row r="15" spans="1:9" ht="24.95" customHeight="1">
      <c r="A15" s="1">
        <v>3</v>
      </c>
      <c r="B15" s="34"/>
      <c r="C15" s="34"/>
      <c r="D15" s="1"/>
      <c r="E15" s="8"/>
      <c r="F15" s="20"/>
      <c r="G15" s="7"/>
      <c r="H15" s="21"/>
      <c r="I15" s="18"/>
    </row>
    <row r="16" spans="1:9" ht="24.95" customHeight="1">
      <c r="A16" s="1">
        <v>4</v>
      </c>
      <c r="B16" s="34"/>
      <c r="C16" s="34"/>
      <c r="D16" s="1"/>
      <c r="E16" s="8"/>
      <c r="F16" s="20"/>
      <c r="G16" s="7"/>
      <c r="H16" s="21"/>
      <c r="I16" s="18"/>
    </row>
    <row r="17" spans="1:9" ht="24.95" customHeight="1">
      <c r="A17" s="1">
        <v>5</v>
      </c>
      <c r="B17" s="34"/>
      <c r="C17" s="34"/>
      <c r="D17" s="1"/>
      <c r="E17" s="8"/>
      <c r="F17" s="20"/>
      <c r="G17" s="7"/>
      <c r="H17" s="21"/>
      <c r="I17" s="18"/>
    </row>
    <row r="18" spans="1:9" ht="24.95" customHeight="1">
      <c r="A18" s="1">
        <v>6</v>
      </c>
      <c r="B18" s="34"/>
      <c r="C18" s="34"/>
      <c r="D18" s="1"/>
      <c r="E18" s="8"/>
      <c r="F18" s="20"/>
      <c r="G18" s="7"/>
      <c r="H18" s="21"/>
      <c r="I18" s="18"/>
    </row>
    <row r="19" spans="1:9" ht="24.95" customHeight="1">
      <c r="A19" s="1">
        <v>7</v>
      </c>
      <c r="B19" s="34"/>
      <c r="C19" s="34"/>
      <c r="D19" s="1"/>
      <c r="E19" s="8"/>
      <c r="F19" s="20"/>
      <c r="G19" s="7"/>
      <c r="H19" s="21"/>
      <c r="I19" s="18"/>
    </row>
    <row r="20" spans="1:9" ht="24.95" customHeight="1">
      <c r="A20" s="1">
        <v>8</v>
      </c>
      <c r="B20" s="34"/>
      <c r="C20" s="34"/>
      <c r="D20" s="1"/>
      <c r="E20" s="8"/>
      <c r="F20" s="20"/>
      <c r="G20" s="7"/>
      <c r="H20" s="21"/>
      <c r="I20" s="18"/>
    </row>
    <row r="21" spans="1:9" ht="24.95" customHeight="1">
      <c r="A21" s="1">
        <v>9</v>
      </c>
      <c r="B21" s="34"/>
      <c r="C21" s="34"/>
      <c r="D21" s="1"/>
      <c r="E21" s="8"/>
      <c r="F21" s="20"/>
      <c r="G21" s="7"/>
      <c r="H21" s="21"/>
      <c r="I21" s="18"/>
    </row>
    <row r="22" spans="1:9" ht="24.95" customHeight="1">
      <c r="A22" s="1">
        <v>10</v>
      </c>
      <c r="B22" s="34"/>
      <c r="C22" s="34"/>
      <c r="D22" s="1"/>
      <c r="E22" s="8"/>
      <c r="F22" s="20"/>
      <c r="G22" s="7"/>
      <c r="H22" s="21"/>
      <c r="I22" s="18"/>
    </row>
    <row r="23" spans="1:9" ht="24.95" customHeight="1">
      <c r="A23" s="1">
        <v>11</v>
      </c>
      <c r="B23" s="34"/>
      <c r="C23" s="34"/>
      <c r="D23" s="1"/>
      <c r="E23" s="8"/>
      <c r="F23" s="20"/>
      <c r="G23" s="7"/>
      <c r="H23" s="21"/>
      <c r="I23" s="18"/>
    </row>
    <row r="24" spans="1:9" ht="24.95" customHeight="1">
      <c r="A24" s="1">
        <v>12</v>
      </c>
      <c r="B24" s="34"/>
      <c r="C24" s="34"/>
      <c r="D24" s="1"/>
      <c r="E24" s="8"/>
      <c r="F24" s="20"/>
      <c r="G24" s="7"/>
      <c r="H24" s="21"/>
      <c r="I24" s="18"/>
    </row>
    <row r="25" spans="1:9" ht="24.95" customHeight="1">
      <c r="A25" s="1">
        <v>13</v>
      </c>
      <c r="B25" s="34"/>
      <c r="C25" s="34"/>
      <c r="D25" s="1"/>
      <c r="E25" s="8"/>
      <c r="F25" s="20"/>
      <c r="G25" s="7"/>
      <c r="H25" s="21"/>
      <c r="I25" s="18"/>
    </row>
    <row r="26" spans="1:9" ht="24.95" customHeight="1">
      <c r="A26" s="1">
        <v>14</v>
      </c>
      <c r="B26" s="34"/>
      <c r="C26" s="34"/>
      <c r="D26" s="1"/>
      <c r="E26" s="8"/>
      <c r="F26" s="20"/>
      <c r="G26" s="7"/>
      <c r="H26" s="21"/>
      <c r="I26" s="18"/>
    </row>
    <row r="27" spans="1:9" ht="24.95" customHeight="1">
      <c r="A27" s="1">
        <v>15</v>
      </c>
      <c r="B27" s="34"/>
      <c r="C27" s="34"/>
      <c r="D27" s="1"/>
      <c r="E27" s="8"/>
      <c r="F27" s="20"/>
      <c r="G27" s="7"/>
      <c r="H27" s="21"/>
      <c r="I27" s="18"/>
    </row>
    <row r="28" spans="1:9" ht="24.95" customHeight="1">
      <c r="A28" s="1">
        <v>16</v>
      </c>
      <c r="B28" s="33"/>
      <c r="C28" s="33"/>
      <c r="D28" s="1"/>
      <c r="E28" s="8"/>
      <c r="F28" s="20"/>
      <c r="G28" s="7"/>
      <c r="H28" s="21"/>
      <c r="I28" s="18"/>
    </row>
    <row r="29" spans="1:9" ht="24.95" customHeight="1">
      <c r="A29" s="1">
        <v>17</v>
      </c>
      <c r="B29" s="33"/>
      <c r="C29" s="33"/>
      <c r="D29" s="1"/>
      <c r="E29" s="8"/>
      <c r="F29" s="20"/>
      <c r="G29" s="7"/>
      <c r="H29" s="21"/>
      <c r="I29" s="18"/>
    </row>
    <row r="30" spans="1:9" ht="24.95" customHeight="1">
      <c r="A30" s="1">
        <v>18</v>
      </c>
      <c r="B30" s="33"/>
      <c r="C30" s="33"/>
      <c r="D30" s="1"/>
      <c r="E30" s="8"/>
      <c r="F30" s="20"/>
      <c r="G30" s="7"/>
      <c r="H30" s="21"/>
      <c r="I30" s="18"/>
    </row>
    <row r="31" spans="1:9" ht="24.95" customHeight="1">
      <c r="A31" s="1">
        <v>19</v>
      </c>
      <c r="B31" s="33"/>
      <c r="C31" s="33"/>
      <c r="D31" s="1"/>
      <c r="E31" s="8"/>
      <c r="F31" s="20"/>
      <c r="G31" s="7"/>
      <c r="H31" s="21"/>
      <c r="I31" s="18"/>
    </row>
    <row r="32" spans="1:9" ht="24.95" customHeight="1" thickBot="1">
      <c r="A32" s="5">
        <v>20</v>
      </c>
      <c r="B32" s="35"/>
      <c r="C32" s="35"/>
      <c r="D32" s="1"/>
      <c r="E32" s="8"/>
      <c r="F32" s="20"/>
      <c r="G32" s="7"/>
      <c r="H32" s="21"/>
      <c r="I32" s="18"/>
    </row>
    <row r="33" spans="1:9" ht="23.1" customHeight="1" thickTop="1">
      <c r="A33" s="12"/>
      <c r="B33" s="12"/>
      <c r="C33" s="12"/>
      <c r="D33" s="12"/>
      <c r="E33" s="32"/>
      <c r="F33" s="32"/>
      <c r="G33" s="10"/>
    </row>
    <row r="34" spans="1:9" ht="23.1" customHeight="1">
      <c r="A34" s="13"/>
      <c r="B34" s="13"/>
      <c r="C34" s="13"/>
      <c r="D34" s="13"/>
      <c r="E34" s="37"/>
      <c r="F34" s="37"/>
      <c r="G34" s="11"/>
    </row>
    <row r="35" spans="1:9" ht="23.1" customHeight="1">
      <c r="A35" s="38" t="s">
        <v>26</v>
      </c>
      <c r="B35" s="38"/>
      <c r="C35" s="38"/>
      <c r="D35" s="38"/>
      <c r="E35" s="37" t="s">
        <v>20</v>
      </c>
      <c r="F35" s="37"/>
      <c r="G35" s="11">
        <f>SUM(G13:G32)</f>
        <v>64939</v>
      </c>
      <c r="H35" s="17"/>
      <c r="I35" s="19">
        <f>SUM(I13:I34)</f>
        <v>16800</v>
      </c>
    </row>
    <row r="36" spans="1:9" ht="23.1" customHeight="1">
      <c r="A36" s="9"/>
      <c r="B36" s="9"/>
      <c r="C36" s="9"/>
      <c r="D36" s="9"/>
      <c r="E36" s="14"/>
      <c r="F36" s="14"/>
      <c r="G36" s="11"/>
      <c r="H36" s="26" t="s">
        <v>29</v>
      </c>
      <c r="I36" s="27">
        <f>G35-I35</f>
        <v>48139</v>
      </c>
    </row>
    <row r="37" spans="1:9" ht="24.95" customHeight="1" thickBot="1">
      <c r="A37" s="6" t="s">
        <v>18</v>
      </c>
      <c r="B37" s="6"/>
      <c r="C37" s="3"/>
      <c r="D37" s="3"/>
      <c r="E37" s="3"/>
      <c r="F37" s="3"/>
      <c r="G37" s="3"/>
      <c r="H37" s="26" t="s">
        <v>30</v>
      </c>
      <c r="I37" s="27">
        <f>ROUND(ABS(G35/1.05),0)-ROUND(ABS(I35/1.05),0)</f>
        <v>45847</v>
      </c>
    </row>
    <row r="38" spans="1:9" ht="24.95" customHeight="1" thickTop="1">
      <c r="A38" s="39"/>
      <c r="B38" s="39"/>
      <c r="C38" s="39"/>
      <c r="D38" s="39"/>
      <c r="E38" s="39"/>
      <c r="F38" s="39"/>
      <c r="G38" s="39"/>
    </row>
    <row r="39" spans="1:9" ht="24.95" customHeight="1">
      <c r="A39" s="40"/>
      <c r="B39" s="40"/>
      <c r="C39" s="40"/>
      <c r="D39" s="40"/>
      <c r="E39" s="40"/>
      <c r="F39" s="40"/>
      <c r="G39" s="40"/>
    </row>
    <row r="40" spans="1:9" ht="24.95" customHeight="1" thickBot="1">
      <c r="A40" s="41"/>
      <c r="B40" s="41"/>
      <c r="C40" s="41"/>
      <c r="D40" s="41"/>
      <c r="E40" s="41"/>
      <c r="F40" s="41"/>
      <c r="G40" s="41"/>
    </row>
    <row r="41" spans="1:9" ht="24.95" customHeight="1" thickTop="1"/>
  </sheetData>
  <mergeCells count="31">
    <mergeCell ref="A38:G40"/>
    <mergeCell ref="E35:F35"/>
    <mergeCell ref="B31:C31"/>
    <mergeCell ref="B32:C32"/>
    <mergeCell ref="A35:D35"/>
    <mergeCell ref="B16:C16"/>
    <mergeCell ref="B17:C17"/>
    <mergeCell ref="B18:C18"/>
    <mergeCell ref="B19:C19"/>
    <mergeCell ref="B20:C20"/>
    <mergeCell ref="A6:B6"/>
    <mergeCell ref="A7:B7"/>
    <mergeCell ref="B13:C13"/>
    <mergeCell ref="B14:C14"/>
    <mergeCell ref="E34:F34"/>
    <mergeCell ref="H8:I10"/>
    <mergeCell ref="F1:G1"/>
    <mergeCell ref="A4:B4"/>
    <mergeCell ref="E33:F33"/>
    <mergeCell ref="B28:C28"/>
    <mergeCell ref="B29:C29"/>
    <mergeCell ref="B30:C30"/>
    <mergeCell ref="B23:C23"/>
    <mergeCell ref="B24:C24"/>
    <mergeCell ref="B25:C25"/>
    <mergeCell ref="B26:C26"/>
    <mergeCell ref="B27:C27"/>
    <mergeCell ref="B15:C15"/>
    <mergeCell ref="B21:C21"/>
    <mergeCell ref="B22:C22"/>
    <mergeCell ref="A5:B5"/>
  </mergeCells>
  <phoneticPr fontId="1" type="noConversion"/>
  <printOptions horizontalCentered="1"/>
  <pageMargins left="0.51181102362204722" right="0.51181102362204722" top="0.39370078740157483" bottom="0.39370078740157483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福大興</vt:lpstr>
      <vt:lpstr>福大興!Print_Area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Windows 使用者</cp:lastModifiedBy>
  <cp:lastPrinted>2019-05-27T09:39:30Z</cp:lastPrinted>
  <dcterms:created xsi:type="dcterms:W3CDTF">2019-04-18T03:25:06Z</dcterms:created>
  <dcterms:modified xsi:type="dcterms:W3CDTF">2021-09-15T04:05:21Z</dcterms:modified>
</cp:coreProperties>
</file>