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rporation\IntelliJProject\ZYHServer\template\"/>
    </mc:Choice>
  </mc:AlternateContent>
  <bookViews>
    <workbookView xWindow="0" yWindow="0" windowWidth="28800" windowHeight="12390"/>
  </bookViews>
  <sheets>
    <sheet name="109年6月" sheetId="12" r:id="rId1"/>
  </sheets>
  <definedNames>
    <definedName name="_xlnm.Print_Area" localSheetId="0">'109年6月'!$A$1:$I$33</definedName>
  </definedNames>
  <calcPr calcId="152511"/>
</workbook>
</file>

<file path=xl/calcChain.xml><?xml version="1.0" encoding="utf-8"?>
<calcChain xmlns="http://schemas.openxmlformats.org/spreadsheetml/2006/main">
  <c r="E24" i="12" l="1"/>
  <c r="E23" i="12"/>
  <c r="E22" i="12"/>
  <c r="E25" i="12" l="1"/>
  <c r="E18" i="12" l="1"/>
</calcChain>
</file>

<file path=xl/sharedStrings.xml><?xml version="1.0" encoding="utf-8"?>
<sst xmlns="http://schemas.openxmlformats.org/spreadsheetml/2006/main" count="112" uniqueCount="73">
  <si>
    <t>金額</t>
    <phoneticPr fontId="1" type="noConversion"/>
  </si>
  <si>
    <t>合計</t>
    <phoneticPr fontId="1" type="noConversion"/>
  </si>
  <si>
    <t>光宙</t>
    <phoneticPr fontId="1" type="noConversion"/>
  </si>
  <si>
    <t>高錚</t>
    <phoneticPr fontId="1" type="noConversion"/>
  </si>
  <si>
    <t>支票抬頭</t>
    <phoneticPr fontId="1" type="noConversion"/>
  </si>
  <si>
    <t>利凌企業股份有限公司</t>
  </si>
  <si>
    <t>捷元股份有限公司</t>
  </si>
  <si>
    <t>台灣光宙科技有限公司</t>
  </si>
  <si>
    <t>高錚企業社</t>
  </si>
  <si>
    <t>付款方式</t>
    <phoneticPr fontId="1" type="noConversion"/>
  </si>
  <si>
    <t>核定
票期</t>
    <phoneticPr fontId="1" type="noConversion"/>
  </si>
  <si>
    <t>碩益電機股份有限公司</t>
    <phoneticPr fontId="1" type="noConversion"/>
  </si>
  <si>
    <t>元盛</t>
    <phoneticPr fontId="1" type="noConversion"/>
  </si>
  <si>
    <t>元盛電子有限公司</t>
    <phoneticPr fontId="1" type="noConversion"/>
  </si>
  <si>
    <t>精技</t>
    <phoneticPr fontId="1" type="noConversion"/>
  </si>
  <si>
    <t>精技電腦股份有限公司</t>
    <phoneticPr fontId="1" type="noConversion"/>
  </si>
  <si>
    <t>支票
號碼</t>
    <phoneticPr fontId="1" type="noConversion"/>
  </si>
  <si>
    <t>附回郵</t>
    <phoneticPr fontId="1" type="noConversion"/>
  </si>
  <si>
    <t>摩根電腦印刷股份有限公司</t>
    <phoneticPr fontId="1" type="noConversion"/>
  </si>
  <si>
    <t>台科電科技股份有限公司</t>
    <phoneticPr fontId="1" type="noConversion"/>
  </si>
  <si>
    <t>自取</t>
    <phoneticPr fontId="1" type="noConversion"/>
  </si>
  <si>
    <t>109/07/31</t>
    <phoneticPr fontId="1" type="noConversion"/>
  </si>
  <si>
    <t>109/08/31</t>
    <phoneticPr fontId="1" type="noConversion"/>
  </si>
  <si>
    <t>109/07/31</t>
    <phoneticPr fontId="1" type="noConversion"/>
  </si>
  <si>
    <t>109/08/15</t>
    <phoneticPr fontId="1" type="noConversion"/>
  </si>
  <si>
    <t>AH1187661</t>
  </si>
  <si>
    <t>AH1187662</t>
  </si>
  <si>
    <t>AH1187663</t>
  </si>
  <si>
    <t>齊昱股份有限公司</t>
    <phoneticPr fontId="1" type="noConversion"/>
  </si>
  <si>
    <t>AH1187664</t>
  </si>
  <si>
    <t>AH1187665</t>
  </si>
  <si>
    <t>AH1187666</t>
  </si>
  <si>
    <t>AH1187667</t>
  </si>
  <si>
    <t>台科電</t>
    <phoneticPr fontId="1" type="noConversion"/>
  </si>
  <si>
    <t>利凌</t>
    <phoneticPr fontId="1" type="noConversion"/>
  </si>
  <si>
    <t>摩根</t>
    <phoneticPr fontId="1" type="noConversion"/>
  </si>
  <si>
    <t>捷元</t>
    <phoneticPr fontId="1" type="noConversion"/>
  </si>
  <si>
    <t>碩益</t>
    <phoneticPr fontId="1" type="noConversion"/>
  </si>
  <si>
    <t>齊昱</t>
    <phoneticPr fontId="1" type="noConversion"/>
  </si>
  <si>
    <t>訸易</t>
    <phoneticPr fontId="1" type="noConversion"/>
  </si>
  <si>
    <t>訸易有限公司</t>
    <phoneticPr fontId="1" type="noConversion"/>
  </si>
  <si>
    <t>AH1187668</t>
  </si>
  <si>
    <t>自取</t>
    <phoneticPr fontId="1" type="noConversion"/>
  </si>
  <si>
    <t>興如</t>
    <phoneticPr fontId="1" type="noConversion"/>
  </si>
  <si>
    <t>興如企業有限公司</t>
    <phoneticPr fontId="1" type="noConversion"/>
  </si>
  <si>
    <t>AH1187659</t>
    <phoneticPr fontId="1" type="noConversion"/>
  </si>
  <si>
    <t>AH1187670</t>
  </si>
  <si>
    <t>AH1187660</t>
    <phoneticPr fontId="1" type="noConversion"/>
  </si>
  <si>
    <t>AH1187669</t>
    <phoneticPr fontId="1" type="noConversion"/>
  </si>
  <si>
    <t>廠商帳款總表(應付帳款)</t>
    <phoneticPr fontId="1" type="noConversion"/>
  </si>
  <si>
    <t>支票到期日</t>
    <phoneticPr fontId="1" type="noConversion"/>
  </si>
  <si>
    <t>支票金額</t>
    <phoneticPr fontId="1" type="noConversion"/>
  </si>
  <si>
    <t>備註</t>
    <phoneticPr fontId="1" type="noConversion"/>
  </si>
  <si>
    <t>備註</t>
    <phoneticPr fontId="1" type="noConversion"/>
  </si>
  <si>
    <t>七月份</t>
    <phoneticPr fontId="1" type="noConversion"/>
  </si>
  <si>
    <t>八月份</t>
    <phoneticPr fontId="1" type="noConversion"/>
  </si>
  <si>
    <t>月</t>
    <phoneticPr fontId="1" type="noConversion"/>
  </si>
  <si>
    <t>NO.</t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</si>
  <si>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60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</si>
  <si>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30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</si>
  <si>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30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</si>
  <si>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45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</si>
  <si>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30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</si>
  <si>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30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</si>
  <si>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Times New Roman"/>
        <family val="1"/>
      </rPr>
      <t>60</t>
    </r>
    <r>
      <rPr>
        <sz val="14"/>
        <color theme="1"/>
        <rFont val="新細明體"/>
        <family val="1"/>
        <charset val="136"/>
      </rPr>
      <t>天</t>
    </r>
    <phoneticPr fontId="1" type="noConversion"/>
  </si>
  <si>
    <r>
      <rPr>
        <b/>
        <sz val="14"/>
        <color theme="1"/>
        <rFont val="新細明體"/>
        <family val="1"/>
        <charset val="136"/>
      </rPr>
      <t>總計</t>
    </r>
    <phoneticPr fontId="1" type="noConversion"/>
  </si>
  <si>
    <t>廠商 名稱</t>
    <phoneticPr fontId="1" type="noConversion"/>
  </si>
  <si>
    <t>廠商 代號</t>
    <phoneticPr fontId="1" type="noConversion"/>
  </si>
  <si>
    <t>109年6月份</t>
    <phoneticPr fontId="1" type="noConversion"/>
  </si>
  <si>
    <t>存入甲存金額</t>
    <phoneticPr fontId="1" type="noConversion"/>
  </si>
  <si>
    <r>
      <rPr>
        <b/>
        <sz val="14"/>
        <color theme="1"/>
        <rFont val="新細明體"/>
        <family val="1"/>
        <charset val="136"/>
      </rPr>
      <t>帳款截至</t>
    </r>
    <r>
      <rPr>
        <b/>
        <sz val="14"/>
        <color theme="1"/>
        <rFont val="Times New Roman"/>
        <family val="1"/>
      </rPr>
      <t>7/25</t>
    </r>
    <r>
      <rPr>
        <b/>
        <sz val="14"/>
        <color theme="1"/>
        <rFont val="新細明體"/>
        <family val="1"/>
        <charset val="136"/>
      </rPr>
      <t>止</t>
    </r>
    <phoneticPr fontId="1" type="noConversion"/>
  </si>
  <si>
    <t>109/07/31</t>
    <phoneticPr fontId="1" type="noConversion"/>
  </si>
  <si>
    <t>AH1187668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</si>
</sst>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&quot;$&quot;#,##0"/>
    <numFmt numFmtId="178" formatCode="[$-404]e/m/d;@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b/>
      <sz val="14"/>
      <color theme="1"/>
      <name val="Times New Roman"/>
      <family val="1"/>
    </font>
    <font>
      <b/>
      <sz val="14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7" fontId="7" fillId="0" borderId="1" xfId="0" applyNumberFormat="1" applyFont="1" applyFill="1" applyBorder="1" applyAlignment="1">
      <alignment horizontal="right" vertical="center" wrapText="1" shrinkToFi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177" fontId="7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Border="1" applyAlignment="1">
      <alignment horizontal="left" vertical="center" wrapText="1"/>
    </xf>
    <xf numFmtId="177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right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77" fontId="9" fillId="0" borderId="4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right" vertical="center"/>
    </xf>
    <xf numFmtId="14" fontId="9" fillId="0" borderId="4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zoomScale="70" zoomScaleNormal="70" workbookViewId="0">
      <pane ySplit="2" topLeftCell="A3" activePane="bottomLeft" state="frozen"/>
      <selection activeCell="D16" sqref="D16"/>
      <selection pane="bottomLeft" activeCell="M4" sqref="M4"/>
    </sheetView>
  </sheetViews>
  <sheetFormatPr defaultRowHeight="16.5" x14ac:dyDescent="0.25"/>
  <cols>
    <col min="1" max="1" width="4.625" style="9" customWidth="1"/>
    <col min="2" max="2" width="7.375" style="9" customWidth="1"/>
    <col min="3" max="3" width="7.875" style="9" customWidth="1"/>
    <col min="4" max="4" width="32.75" style="9" customWidth="1"/>
    <col min="5" max="5" width="13.625" style="9" customWidth="1"/>
    <col min="6" max="6" width="14.875" style="9" customWidth="1"/>
    <col min="7" max="7" width="10.875" style="9" bestFit="1" customWidth="1"/>
    <col min="8" max="8" width="17" style="9" customWidth="1"/>
    <col min="9" max="9" width="19.5" style="9" customWidth="1"/>
    <col min="10" max="16384" width="9" style="9"/>
  </cols>
  <sheetData>
    <row r="1" spans="1:9" ht="30" customHeight="1" x14ac:dyDescent="0.25">
      <c r="A1" s="42" t="s">
        <v>68</v>
      </c>
      <c r="B1" s="42"/>
      <c r="C1" s="42"/>
      <c r="D1" s="42"/>
      <c r="E1" s="43" t="s">
        <v>49</v>
      </c>
      <c r="F1" s="43"/>
      <c r="G1" s="43"/>
      <c r="H1" s="43"/>
      <c r="I1" s="33" t="s">
        <v>23</v>
      </c>
    </row>
    <row r="2" spans="1:9" s="12" customFormat="1" ht="39" x14ac:dyDescent="0.25">
      <c r="A2" s="20" t="s">
        <v>57</v>
      </c>
      <c r="B2" s="32" t="s">
        <v>67</v>
      </c>
      <c r="C2" s="32" t="s">
        <v>66</v>
      </c>
      <c r="D2" s="10" t="s">
        <v>4</v>
      </c>
      <c r="E2" s="10" t="s">
        <v>0</v>
      </c>
      <c r="F2" s="19" t="s">
        <v>9</v>
      </c>
      <c r="G2" s="11" t="s">
        <v>10</v>
      </c>
      <c r="H2" s="11" t="s">
        <v>16</v>
      </c>
      <c r="I2" s="1" t="s">
        <v>52</v>
      </c>
    </row>
    <row r="3" spans="1:9" ht="32.1" customHeight="1" x14ac:dyDescent="0.25">
      <c r="A3" s="20">
        <v>1</v>
      </c>
      <c r="B3" s="21">
        <v>215</v>
      </c>
      <c r="C3" s="6" t="s">
        <v>33</v>
      </c>
      <c r="D3" s="7" t="s">
        <v>19</v>
      </c>
      <c r="E3" s="23">
        <v>2345</v>
      </c>
      <c r="F3" s="24" t="s">
        <v>58</v>
      </c>
      <c r="G3" s="33" t="s">
        <v>22</v>
      </c>
      <c r="H3" s="25" t="s">
        <v>45</v>
      </c>
      <c r="I3" s="8" t="s">
        <v>17</v>
      </c>
    </row>
    <row r="4" spans="1:9" ht="32.1" customHeight="1" x14ac:dyDescent="0.25">
      <c r="A4" s="20">
        <v>2</v>
      </c>
      <c r="B4" s="21">
        <v>218</v>
      </c>
      <c r="C4" s="6" t="s">
        <v>34</v>
      </c>
      <c r="D4" s="5" t="s">
        <v>5</v>
      </c>
      <c r="E4" s="23">
        <v>6789</v>
      </c>
      <c r="F4" s="24" t="s">
        <v>59</v>
      </c>
      <c r="G4" s="33" t="s">
        <v>23</v>
      </c>
      <c r="H4" s="25" t="s">
        <v>48</v>
      </c>
      <c r="I4" s="8" t="s">
        <v>17</v>
      </c>
    </row>
    <row r="5" spans="1:9" ht="32.1" customHeight="1" x14ac:dyDescent="0.25">
      <c r="A5" s="20">
        <v>3</v>
      </c>
      <c r="B5" s="21">
        <v>701</v>
      </c>
      <c r="C5" s="6" t="s">
        <v>35</v>
      </c>
      <c r="D5" s="5" t="s">
        <v>18</v>
      </c>
      <c r="E5" s="23">
        <v>3333</v>
      </c>
      <c r="F5" s="26" t="s">
        <v>60</v>
      </c>
      <c r="G5" s="33" t="s">
        <v>23</v>
      </c>
      <c r="H5" s="25" t="s">
        <v>47</v>
      </c>
      <c r="I5" s="8" t="s">
        <v>17</v>
      </c>
    </row>
    <row r="6" spans="1:9" ht="32.1" customHeight="1" x14ac:dyDescent="0.25">
      <c r="A6" s="20">
        <v>4</v>
      </c>
      <c r="B6" s="21">
        <v>729</v>
      </c>
      <c r="C6" s="6" t="s">
        <v>12</v>
      </c>
      <c r="D6" s="7" t="s">
        <v>13</v>
      </c>
      <c r="E6" s="23">
        <v>5313</v>
      </c>
      <c r="F6" s="26" t="s">
        <v>61</v>
      </c>
      <c r="G6" s="33" t="s">
        <v>24</v>
      </c>
      <c r="H6" s="25" t="s">
        <v>25</v>
      </c>
      <c r="I6" s="8" t="s">
        <v>17</v>
      </c>
    </row>
    <row r="7" spans="1:9" ht="32.1" customHeight="1" x14ac:dyDescent="0.25">
      <c r="A7" s="20">
        <v>5</v>
      </c>
      <c r="B7" s="21">
        <v>776</v>
      </c>
      <c r="C7" s="6" t="s">
        <v>14</v>
      </c>
      <c r="D7" s="7" t="s">
        <v>15</v>
      </c>
      <c r="E7" s="23">
        <v>123456</v>
      </c>
      <c r="F7" s="26" t="s">
        <v>62</v>
      </c>
      <c r="G7" s="33" t="s">
        <v>23</v>
      </c>
      <c r="H7" s="25" t="s">
        <v>26</v>
      </c>
      <c r="I7" s="8" t="s">
        <v>17</v>
      </c>
    </row>
    <row r="8" spans="1:9" ht="32.1" customHeight="1" x14ac:dyDescent="0.25">
      <c r="A8" s="20">
        <v>6</v>
      </c>
      <c r="B8" s="21">
        <v>779</v>
      </c>
      <c r="C8" s="6" t="s">
        <v>36</v>
      </c>
      <c r="D8" s="5" t="s">
        <v>6</v>
      </c>
      <c r="E8" s="27">
        <v>6666</v>
      </c>
      <c r="F8" s="26" t="s">
        <v>59</v>
      </c>
      <c r="G8" s="33" t="s">
        <v>23</v>
      </c>
      <c r="H8" s="25" t="s">
        <v>27</v>
      </c>
      <c r="I8" s="8" t="s">
        <v>17</v>
      </c>
    </row>
    <row r="9" spans="1:9" ht="32.1" customHeight="1" x14ac:dyDescent="0.25">
      <c r="A9" s="20">
        <v>7</v>
      </c>
      <c r="B9" s="21">
        <v>783</v>
      </c>
      <c r="C9" s="6" t="s">
        <v>2</v>
      </c>
      <c r="D9" s="7" t="s">
        <v>7</v>
      </c>
      <c r="E9" s="23">
        <v>5888</v>
      </c>
      <c r="F9" s="26" t="s">
        <v>60</v>
      </c>
      <c r="G9" s="33" t="s">
        <v>23</v>
      </c>
      <c r="H9" s="25" t="s">
        <v>29</v>
      </c>
      <c r="I9" s="8" t="s">
        <v>42</v>
      </c>
    </row>
    <row r="10" spans="1:9" customFormat="1" ht="32.1" customHeight="1" x14ac:dyDescent="0.25">
      <c r="A10" s="20">
        <v>8</v>
      </c>
      <c r="B10" s="22">
        <v>793</v>
      </c>
      <c r="C10" s="6" t="s">
        <v>37</v>
      </c>
      <c r="D10" s="7" t="s">
        <v>11</v>
      </c>
      <c r="E10" s="23">
        <v>68888</v>
      </c>
      <c r="F10" s="26" t="s">
        <v>58</v>
      </c>
      <c r="G10" s="33" t="s">
        <v>22</v>
      </c>
      <c r="H10" s="25" t="s">
        <v>30</v>
      </c>
      <c r="I10" s="8" t="s">
        <v>17</v>
      </c>
    </row>
    <row r="11" spans="1:9" ht="32.1" customHeight="1" x14ac:dyDescent="0.25">
      <c r="A11" s="20">
        <v>9</v>
      </c>
      <c r="B11" s="21">
        <v>811</v>
      </c>
      <c r="C11" s="2" t="s">
        <v>38</v>
      </c>
      <c r="D11" s="14" t="s">
        <v>28</v>
      </c>
      <c r="E11" s="27">
        <v>10000</v>
      </c>
      <c r="F11" s="26" t="s">
        <v>63</v>
      </c>
      <c r="G11" s="33" t="s">
        <v>23</v>
      </c>
      <c r="H11" s="25" t="s">
        <v>31</v>
      </c>
      <c r="I11" s="8" t="s">
        <v>17</v>
      </c>
    </row>
    <row r="12" spans="1:9" ht="32.1" customHeight="1" x14ac:dyDescent="0.25">
      <c r="A12" s="20">
        <v>10</v>
      </c>
      <c r="B12" s="21">
        <v>821</v>
      </c>
      <c r="C12" s="2" t="s">
        <v>3</v>
      </c>
      <c r="D12" s="3" t="s">
        <v>8</v>
      </c>
      <c r="E12" s="27">
        <v>21312</v>
      </c>
      <c r="F12" s="24" t="s">
        <v>64</v>
      </c>
      <c r="G12" s="33" t="s">
        <v>22</v>
      </c>
      <c r="H12" s="25" t="s">
        <v>32</v>
      </c>
      <c r="I12" s="4" t="s">
        <v>17</v>
      </c>
    </row>
    <row r="13" spans="1:9" ht="32.1" customHeight="1" x14ac:dyDescent="0.25">
      <c r="A13" s="20">
        <v>11</v>
      </c>
      <c r="B13" s="21">
        <v>842</v>
      </c>
      <c r="C13" s="2" t="s">
        <v>39</v>
      </c>
      <c r="D13" s="7" t="s">
        <v>40</v>
      </c>
      <c r="E13" s="27">
        <v>23456</v>
      </c>
      <c r="F13" s="26" t="s">
        <v>59</v>
      </c>
      <c r="G13" s="33" t="s">
        <v>21</v>
      </c>
      <c r="H13" s="25" t="s">
        <v>72</v>
      </c>
      <c r="I13" s="8" t="s">
        <v>20</v>
      </c>
    </row>
    <row r="14" spans="1:9" ht="32.1" customHeight="1" x14ac:dyDescent="0.25">
      <c r="A14" s="20">
        <v>12</v>
      </c>
      <c r="B14" s="21">
        <v>842</v>
      </c>
      <c r="C14" s="2" t="s">
        <v>39</v>
      </c>
      <c r="D14" s="7" t="s">
        <v>40</v>
      </c>
      <c r="E14" s="27">
        <v>4321</v>
      </c>
      <c r="F14" s="26" t="s">
        <v>63</v>
      </c>
      <c r="G14" s="33" t="s">
        <v>71</v>
      </c>
      <c r="H14" s="25" t="s">
        <v>41</v>
      </c>
      <c r="I14" s="8" t="s">
        <v>20</v>
      </c>
    </row>
    <row r="15" spans="1:9" ht="32.1" customHeight="1" x14ac:dyDescent="0.25">
      <c r="A15" s="20">
        <v>13</v>
      </c>
      <c r="B15" s="21">
        <v>782</v>
      </c>
      <c r="C15" s="2" t="s">
        <v>43</v>
      </c>
      <c r="D15" s="7" t="s">
        <v>44</v>
      </c>
      <c r="E15" s="27">
        <v>76543</v>
      </c>
      <c r="F15" s="26" t="s">
        <v>59</v>
      </c>
      <c r="G15" s="33" t="s">
        <v>23</v>
      </c>
      <c r="H15" s="25" t="s">
        <v>46</v>
      </c>
      <c r="I15" s="8" t="s">
        <v>20</v>
      </c>
    </row>
    <row r="16" spans="1:9" ht="32.1" customHeight="1" x14ac:dyDescent="0.25">
      <c r="A16" s="20">
        <v>14</v>
      </c>
      <c r="B16" s="21">
        <v>842</v>
      </c>
      <c r="C16" s="2" t="s">
        <v>39</v>
      </c>
      <c r="D16" s="7" t="s">
        <v>40</v>
      </c>
      <c r="E16" s="27">
        <v>41111</v>
      </c>
      <c r="F16" s="26" t="s">
        <v>59</v>
      </c>
      <c r="G16" s="34" t="s">
        <v>21</v>
      </c>
      <c r="H16" s="28" t="s">
        <v>41</v>
      </c>
      <c r="I16" s="8" t="s">
        <v>42</v>
      </c>
    </row>
    <row r="17" spans="1:11" ht="32.1" customHeight="1" x14ac:dyDescent="0.25">
      <c r="A17" s="20">
        <v>15</v>
      </c>
      <c r="B17" s="21">
        <v>782</v>
      </c>
      <c r="C17" s="2" t="s">
        <v>43</v>
      </c>
      <c r="D17" s="7" t="s">
        <v>44</v>
      </c>
      <c r="E17" s="27">
        <v>1588888</v>
      </c>
      <c r="F17" s="26" t="s">
        <v>63</v>
      </c>
      <c r="G17" s="34" t="s">
        <v>24</v>
      </c>
      <c r="H17" s="28" t="s">
        <v>46</v>
      </c>
      <c r="I17" s="8" t="s">
        <v>20</v>
      </c>
    </row>
    <row r="18" spans="1:11" ht="30" customHeight="1" x14ac:dyDescent="0.25">
      <c r="A18" s="39" t="s">
        <v>1</v>
      </c>
      <c r="B18" s="40"/>
      <c r="C18" s="41"/>
      <c r="D18" s="15"/>
      <c r="E18" s="31">
        <f>SUM(E3:E17)</f>
        <v>1988309</v>
      </c>
      <c r="F18" s="13"/>
      <c r="G18" s="13"/>
      <c r="H18" s="13"/>
      <c r="I18" s="13"/>
    </row>
    <row r="19" spans="1:11" ht="30" customHeight="1" x14ac:dyDescent="0.25">
      <c r="D19" s="16"/>
      <c r="E19" s="16"/>
      <c r="F19" s="16"/>
      <c r="G19" s="16"/>
      <c r="H19" s="17"/>
      <c r="I19" s="17"/>
      <c r="J19" s="18"/>
      <c r="K19" s="18"/>
    </row>
    <row r="20" spans="1:11" ht="30" customHeight="1" x14ac:dyDescent="0.25">
      <c r="A20" s="35"/>
      <c r="C20" s="48" t="s">
        <v>69</v>
      </c>
      <c r="D20" s="48"/>
      <c r="E20" s="16"/>
      <c r="F20" s="16"/>
      <c r="G20" s="30" t="s">
        <v>70</v>
      </c>
      <c r="H20" s="17"/>
      <c r="I20" s="17"/>
      <c r="J20" s="18"/>
      <c r="K20" s="18"/>
    </row>
    <row r="21" spans="1:11" ht="30" customHeight="1" x14ac:dyDescent="0.25">
      <c r="A21" s="45" t="s">
        <v>56</v>
      </c>
      <c r="B21" s="45"/>
      <c r="C21" s="39" t="s">
        <v>50</v>
      </c>
      <c r="D21" s="41"/>
      <c r="E21" s="13" t="s">
        <v>51</v>
      </c>
      <c r="F21" s="55" t="s">
        <v>53</v>
      </c>
      <c r="G21" s="56"/>
      <c r="H21" s="56"/>
      <c r="I21" s="57"/>
    </row>
    <row r="22" spans="1:11" ht="30" customHeight="1" x14ac:dyDescent="0.25">
      <c r="A22" s="45" t="s">
        <v>54</v>
      </c>
      <c r="B22" s="45"/>
      <c r="C22" s="46">
        <v>44043</v>
      </c>
      <c r="D22" s="47"/>
      <c r="E22" s="29">
        <f>E9+E11+E13+E14+E15+E16</f>
        <v>161319</v>
      </c>
      <c r="F22" s="36"/>
      <c r="G22" s="37"/>
      <c r="H22" s="37"/>
      <c r="I22" s="38"/>
    </row>
    <row r="23" spans="1:11" ht="30" customHeight="1" x14ac:dyDescent="0.25">
      <c r="A23" s="49" t="s">
        <v>55</v>
      </c>
      <c r="B23" s="50"/>
      <c r="C23" s="46">
        <v>44058</v>
      </c>
      <c r="D23" s="47"/>
      <c r="E23" s="29">
        <f>E17</f>
        <v>1588888</v>
      </c>
      <c r="F23" s="36"/>
      <c r="G23" s="37"/>
      <c r="H23" s="37"/>
      <c r="I23" s="38"/>
    </row>
    <row r="24" spans="1:11" ht="30" customHeight="1" x14ac:dyDescent="0.25">
      <c r="A24" s="51"/>
      <c r="B24" s="52"/>
      <c r="C24" s="46">
        <v>44074</v>
      </c>
      <c r="D24" s="47"/>
      <c r="E24" s="29">
        <f>E12+E10</f>
        <v>90200</v>
      </c>
      <c r="F24" s="36"/>
      <c r="G24" s="37"/>
      <c r="H24" s="37"/>
      <c r="I24" s="38"/>
    </row>
    <row r="25" spans="1:11" ht="30" customHeight="1" x14ac:dyDescent="0.25">
      <c r="A25" s="44"/>
      <c r="B25" s="44"/>
      <c r="C25" s="53" t="s">
        <v>65</v>
      </c>
      <c r="D25" s="54"/>
      <c r="E25" s="29">
        <f>SUM(E22:I24)</f>
        <v>1840407</v>
      </c>
      <c r="F25" s="36"/>
      <c r="G25" s="37"/>
      <c r="H25" s="37"/>
      <c r="I25" s="38"/>
    </row>
    <row r="26" spans="1:11" ht="30" customHeight="1" x14ac:dyDescent="0.25">
      <c r="D26" s="16"/>
      <c r="E26" s="16"/>
      <c r="F26" s="16"/>
      <c r="G26" s="16"/>
      <c r="H26" s="17"/>
      <c r="I26" s="17"/>
      <c r="J26" s="18"/>
      <c r="K26" s="18"/>
    </row>
    <row r="27" spans="1:11" ht="30" customHeight="1" x14ac:dyDescent="0.25">
      <c r="A27" s="16"/>
      <c r="B27" s="16"/>
      <c r="C27" s="16"/>
      <c r="D27" s="16"/>
      <c r="E27" s="17"/>
      <c r="F27" s="17"/>
      <c r="G27" s="18"/>
      <c r="H27" s="18"/>
      <c r="I27" s="18"/>
    </row>
    <row r="28" spans="1:11" ht="30" customHeight="1" x14ac:dyDescent="0.25">
      <c r="A28" s="16"/>
      <c r="B28" s="16"/>
      <c r="C28" s="16"/>
      <c r="D28" s="16"/>
      <c r="E28" s="17"/>
      <c r="F28" s="17"/>
      <c r="G28" s="18"/>
      <c r="H28" s="18"/>
      <c r="I28" s="18"/>
    </row>
    <row r="29" spans="1:11" ht="30" customHeight="1" x14ac:dyDescent="0.25">
      <c r="A29" s="16"/>
      <c r="B29" s="16"/>
      <c r="C29" s="16"/>
      <c r="D29" s="16"/>
      <c r="E29" s="17"/>
      <c r="F29" s="17"/>
      <c r="G29" s="18"/>
      <c r="H29" s="18"/>
      <c r="I29" s="18"/>
    </row>
    <row r="30" spans="1:11" ht="30" customHeight="1" x14ac:dyDescent="0.25">
      <c r="A30" s="16"/>
      <c r="B30" s="16"/>
      <c r="C30" s="16"/>
      <c r="D30" s="16"/>
      <c r="E30" s="17"/>
      <c r="F30" s="17"/>
      <c r="G30" s="18"/>
      <c r="H30" s="18"/>
      <c r="I30" s="18"/>
    </row>
    <row r="31" spans="1:11" ht="30" customHeight="1" x14ac:dyDescent="0.25">
      <c r="A31" s="16"/>
      <c r="B31" s="16"/>
      <c r="C31" s="16"/>
      <c r="D31" s="16"/>
      <c r="E31" s="17"/>
      <c r="F31" s="17"/>
      <c r="G31" s="18"/>
      <c r="H31" s="18"/>
      <c r="I31" s="18"/>
    </row>
    <row r="32" spans="1:11" ht="30" customHeight="1" x14ac:dyDescent="0.25">
      <c r="A32" s="16"/>
      <c r="B32" s="16"/>
      <c r="C32" s="16"/>
      <c r="D32" s="16"/>
      <c r="E32" s="17"/>
      <c r="F32" s="17"/>
      <c r="G32" s="18"/>
      <c r="H32" s="18"/>
      <c r="I32" s="18"/>
    </row>
    <row r="33" spans="1:9" ht="30" customHeight="1" x14ac:dyDescent="0.25">
      <c r="A33" s="16"/>
      <c r="B33" s="16"/>
      <c r="C33" s="16"/>
      <c r="D33" s="16"/>
      <c r="E33" s="17"/>
      <c r="F33" s="17"/>
      <c r="G33" s="18"/>
      <c r="H33" s="18"/>
      <c r="I33" s="18"/>
    </row>
  </sheetData>
  <mergeCells count="18">
    <mergeCell ref="F21:I21"/>
    <mergeCell ref="F22:I22"/>
    <mergeCell ref="F23:I23"/>
    <mergeCell ref="F24:I24"/>
    <mergeCell ref="F25:I25"/>
    <mergeCell ref="A18:C18"/>
    <mergeCell ref="A1:D1"/>
    <mergeCell ref="E1:H1"/>
    <mergeCell ref="A25:B25"/>
    <mergeCell ref="A21:B21"/>
    <mergeCell ref="A22:B22"/>
    <mergeCell ref="C22:D22"/>
    <mergeCell ref="C21:D21"/>
    <mergeCell ref="C23:D23"/>
    <mergeCell ref="C24:D24"/>
    <mergeCell ref="C20:D20"/>
    <mergeCell ref="A23:B24"/>
    <mergeCell ref="C25:D25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109年6月</vt:lpstr>
      <vt:lpstr>'109年6月'!Print_Area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2020-08-24T10:58:17Z</cp:lastPrinted>
  <dcterms:created xsi:type="dcterms:W3CDTF">2019-02-22T11:34:02Z</dcterms:created>
  <dcterms:modified xsi:type="dcterms:W3CDTF">2020-09-16T02:11:30Z</dcterms:modified>
</cp:coreProperties>
</file>