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16215" yWindow="150" windowWidth="12675" windowHeight="12135"/>
  </bookViews>
  <sheets>
    <sheet name="啟廉" sheetId="3" r:id="rId1"/>
  </sheets>
  <definedNames>
    <definedName name="_xlnm.Print_Area" localSheetId="0">啟廉!$A$1:$J$47</definedName>
  </definedNames>
  <calcPr calcId="152511"/>
</workbook>
</file>

<file path=xl/calcChain.xml><?xml version="1.0" encoding="utf-8"?>
<calcChain xmlns="http://schemas.openxmlformats.org/spreadsheetml/2006/main">
  <c r="L33" i="3" l="1"/>
  <c r="L29" i="3" l="1"/>
  <c r="L30" i="3" s="1"/>
  <c r="L31" i="3" l="1"/>
  <c r="B29" i="3"/>
  <c r="B30" i="3" s="1"/>
  <c r="G5" i="3"/>
  <c r="B31" i="3" l="1"/>
  <c r="L32" i="3" s="1"/>
</calcChain>
</file>

<file path=xl/sharedStrings.xml><?xml version="1.0" encoding="utf-8"?>
<sst xmlns="http://schemas.openxmlformats.org/spreadsheetml/2006/main" count="33" uniqueCount="33">
  <si>
    <t>客戶名稱</t>
  </si>
  <si>
    <t xml:space="preserve">  </t>
  </si>
  <si>
    <t>數量</t>
  </si>
  <si>
    <t>單價</t>
  </si>
  <si>
    <t>單位</t>
    <phoneticPr fontId="5" type="noConversion"/>
  </si>
  <si>
    <t>總價</t>
    <phoneticPr fontId="5" type="noConversion"/>
  </si>
  <si>
    <t>合　　　計：</t>
    <phoneticPr fontId="5" type="noConversion"/>
  </si>
  <si>
    <t>填 表 人</t>
    <phoneticPr fontId="5" type="noConversion"/>
  </si>
  <si>
    <t>含稅</t>
    <phoneticPr fontId="5" type="noConversion"/>
  </si>
  <si>
    <t>統編</t>
    <phoneticPr fontId="5" type="noConversion"/>
  </si>
  <si>
    <t>估價日期</t>
    <phoneticPr fontId="5" type="noConversion"/>
  </si>
  <si>
    <t>稅　　　額：</t>
    <phoneticPr fontId="5" type="noConversion"/>
  </si>
  <si>
    <t>未稅</t>
    <phoneticPr fontId="5" type="noConversion"/>
  </si>
  <si>
    <t>備  註  欄</t>
    <phoneticPr fontId="5" type="noConversion"/>
  </si>
  <si>
    <t>啟廉資訊有限公司</t>
    <phoneticPr fontId="5" type="noConversion"/>
  </si>
  <si>
    <t>商品估價單</t>
    <phoneticPr fontId="5" type="noConversion"/>
  </si>
  <si>
    <t>電話</t>
    <phoneticPr fontId="5" type="noConversion"/>
  </si>
  <si>
    <t>07-3814526</t>
    <phoneticPr fontId="5" type="noConversion"/>
  </si>
  <si>
    <t>地    址</t>
    <phoneticPr fontId="5" type="noConversion"/>
  </si>
  <si>
    <t>會員號碼</t>
    <phoneticPr fontId="5" type="noConversion"/>
  </si>
  <si>
    <t>總　　　計：</t>
    <phoneticPr fontId="5" type="noConversion"/>
  </si>
  <si>
    <r>
      <rPr>
        <sz val="24"/>
        <rFont val="標楷體"/>
        <family val="4"/>
        <charset val="136"/>
      </rPr>
      <t xml:space="preserve">啟廉資訊有限公司     </t>
    </r>
    <r>
      <rPr>
        <sz val="14"/>
        <rFont val="標楷體"/>
        <family val="4"/>
        <charset val="136"/>
      </rPr>
      <t xml:space="preserve">
</t>
    </r>
    <r>
      <rPr>
        <sz val="16"/>
        <rFont val="標楷體"/>
        <family val="4"/>
        <charset val="136"/>
      </rPr>
      <t>公司住址：高雄市三民區建國二路119號1樓      電話：07-2351800      統一編號：53586972</t>
    </r>
    <phoneticPr fontId="5" type="noConversion"/>
  </si>
  <si>
    <t>台</t>
  </si>
  <si>
    <r>
      <t>新台幣： 零 拾 玖 萬 壹 仟 捌 佰 肆 拾 玖 元整</t>
    </r>
    <r>
      <rPr>
        <sz val="14"/>
        <rFont val="Arial"/>
        <family val="2"/>
      </rPr>
      <t xml:space="preserve">  </t>
    </r>
    <phoneticPr fontId="5" type="noConversion"/>
  </si>
  <si>
    <t>Batch price</t>
    <phoneticPr fontId="5" type="noConversion"/>
  </si>
  <si>
    <t>BP小計</t>
    <phoneticPr fontId="5" type="noConversion"/>
  </si>
  <si>
    <t>國立高雄科技大學</t>
    <phoneticPr fontId="5" type="noConversion"/>
  </si>
  <si>
    <t>品名</t>
    <phoneticPr fontId="5" type="noConversion"/>
  </si>
  <si>
    <t>AVR8816A-32路監控主機(DVR3254LX)</t>
    <phoneticPr fontId="5" type="noConversion"/>
  </si>
  <si>
    <t>以下空白</t>
    <phoneticPr fontId="5" type="noConversion"/>
  </si>
  <si>
    <t>說　明</t>
    <phoneticPr fontId="5" type="noConversion"/>
  </si>
  <si>
    <t>利潤(含稅)</t>
    <phoneticPr fontId="5" type="noConversion"/>
  </si>
  <si>
    <t>利潤(未稅)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</si>
</sst>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&quot;年&quot;m&quot;月&quot;d&quot;日&quot;;@"/>
    <numFmt numFmtId="177" formatCode="&quot;$&quot;#,##0"/>
    <numFmt numFmtId="178" formatCode="&quot;$&quot;#,##0_);[Red]\(&quot;$&quot;#,##0\)"/>
    <numFmt numFmtId="179" formatCode="&quot;$&quot;#,##0.0_);[Red]\(&quot;$&quot;#,##0.0\)"/>
  </numFmts>
  <fonts count="19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4"/>
      <name val="Arial"/>
      <family val="2"/>
    </font>
    <font>
      <sz val="22"/>
      <name val="Arial"/>
      <family val="2"/>
    </font>
    <font>
      <sz val="12"/>
      <name val="Arial"/>
      <family val="2"/>
    </font>
    <font>
      <sz val="9"/>
      <name val="新細明體"/>
      <family val="1"/>
      <charset val="136"/>
    </font>
    <font>
      <sz val="22"/>
      <name val="標楷體"/>
      <family val="4"/>
      <charset val="136"/>
    </font>
    <font>
      <sz val="14"/>
      <name val="標楷體"/>
      <family val="4"/>
      <charset val="136"/>
    </font>
    <font>
      <sz val="14"/>
      <name val="細明體"/>
      <family val="3"/>
      <charset val="136"/>
    </font>
    <font>
      <sz val="16"/>
      <name val="標楷體"/>
      <family val="4"/>
      <charset val="136"/>
    </font>
    <font>
      <u/>
      <sz val="48"/>
      <name val="文鼎粗魏碑"/>
      <family val="3"/>
      <charset val="136"/>
    </font>
    <font>
      <sz val="48"/>
      <name val="文鼎粗魏碑"/>
      <family val="3"/>
      <charset val="136"/>
    </font>
    <font>
      <sz val="24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2"/>
      <name val="Times New Roman"/>
      <family val="1"/>
    </font>
    <font>
      <sz val="12"/>
      <name val="標楷體"/>
      <family val="4"/>
      <charset val="136"/>
    </font>
    <font>
      <sz val="14"/>
      <color indexed="8"/>
      <name val="Arial"/>
      <family val="2"/>
    </font>
    <font>
      <b/>
      <sz val="14"/>
      <color rgb="FFFF0000"/>
      <name val="細明體"/>
      <family val="3"/>
      <charset val="136"/>
    </font>
    <font>
      <sz val="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double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3" fillId="0" borderId="0">
      <alignment vertical="center"/>
    </xf>
  </cellStyleXfs>
  <cellXfs count="95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177" fontId="2" fillId="0" borderId="9" xfId="0" applyNumberFormat="1" applyFont="1" applyBorder="1" applyAlignment="1">
      <alignment horizontal="right" vertical="center" wrapText="1"/>
    </xf>
    <xf numFmtId="177" fontId="2" fillId="0" borderId="11" xfId="0" applyNumberFormat="1" applyFont="1" applyBorder="1" applyAlignment="1">
      <alignment horizontal="right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vertical="center" wrapText="1"/>
    </xf>
    <xf numFmtId="177" fontId="2" fillId="0" borderId="15" xfId="0" applyNumberFormat="1" applyFont="1" applyBorder="1" applyAlignment="1">
      <alignment horizontal="right" vertical="center" wrapText="1"/>
    </xf>
    <xf numFmtId="0" fontId="7" fillId="0" borderId="16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15" fillId="3" borderId="0" xfId="1" applyFont="1" applyFill="1" applyAlignment="1">
      <alignment horizontal="center" vertical="center"/>
    </xf>
    <xf numFmtId="178" fontId="16" fillId="0" borderId="0" xfId="1" applyNumberFormat="1" applyFont="1" applyBorder="1" applyAlignment="1">
      <alignment horizontal="right" vertical="center"/>
    </xf>
    <xf numFmtId="178" fontId="2" fillId="0" borderId="0" xfId="0" applyNumberFormat="1" applyFont="1" applyAlignment="1">
      <alignment vertical="center"/>
    </xf>
    <xf numFmtId="0" fontId="8" fillId="0" borderId="63" xfId="0" applyNumberFormat="1" applyFont="1" applyBorder="1" applyAlignment="1">
      <alignment horizontal="center" vertical="center"/>
    </xf>
    <xf numFmtId="0" fontId="8" fillId="0" borderId="62" xfId="0" applyNumberFormat="1" applyFont="1" applyBorder="1" applyAlignment="1">
      <alignment horizontal="center" vertical="center"/>
    </xf>
    <xf numFmtId="0" fontId="8" fillId="0" borderId="15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right" vertical="center"/>
    </xf>
    <xf numFmtId="179" fontId="16" fillId="0" borderId="0" xfId="1" applyNumberFormat="1" applyFont="1" applyBorder="1" applyAlignment="1">
      <alignment horizontal="right" vertical="center"/>
    </xf>
    <xf numFmtId="0" fontId="17" fillId="2" borderId="61" xfId="1" applyFont="1" applyFill="1" applyBorder="1" applyAlignment="1">
      <alignment horizontal="center" vertical="center"/>
    </xf>
    <xf numFmtId="178" fontId="17" fillId="2" borderId="0" xfId="1" applyNumberFormat="1" applyFont="1" applyFill="1" applyBorder="1" applyAlignment="1">
      <alignment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0" fillId="0" borderId="48" xfId="0" applyBorder="1">
      <alignment vertical="center"/>
    </xf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left" vertical="center" wrapText="1"/>
    </xf>
    <xf numFmtId="0" fontId="9" fillId="0" borderId="52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 wrapText="1"/>
    </xf>
    <xf numFmtId="0" fontId="9" fillId="0" borderId="54" xfId="0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 wrapText="1"/>
    </xf>
    <xf numFmtId="0" fontId="9" fillId="0" borderId="56" xfId="0" applyFont="1" applyBorder="1" applyAlignment="1">
      <alignment horizontal="left" vertical="center" wrapText="1"/>
    </xf>
    <xf numFmtId="0" fontId="9" fillId="0" borderId="5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 wrapText="1"/>
    </xf>
    <xf numFmtId="0" fontId="9" fillId="0" borderId="33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176" fontId="9" fillId="0" borderId="37" xfId="0" applyNumberFormat="1" applyFont="1" applyBorder="1" applyAlignment="1">
      <alignment horizontal="left" vertical="center"/>
    </xf>
    <xf numFmtId="176" fontId="9" fillId="0" borderId="38" xfId="0" applyNumberFormat="1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3">
    <cellStyle name="0,0_x000d__x000a_NA_x000d__x000a_ 10" xfId="1"/>
    <cellStyle name="一般" xfId="0" builtinId="0"/>
    <cellStyle name="一般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582706</xdr:colOff>
      <xdr:row>17</xdr:row>
      <xdr:rowOff>190500</xdr:rowOff>
    </xdr:from>
    <xdr:to>
      <xdr:col>5</xdr:col>
      <xdr:colOff>896470</xdr:colOff>
      <xdr:row>24</xdr:row>
      <xdr:rowOff>22412</xdr:rowOff>
    </xdr:to>
    <xdr:pic>
      <xdr:nvPicPr>
        <xdr:cNvPr id="3" name="圖片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6118" y="6297706"/>
          <a:ext cx="2622176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abSelected="1" topLeftCell="B1" zoomScale="85" zoomScaleNormal="85" workbookViewId="0">
      <selection activeCell="K3" sqref="K3:L5"/>
    </sheetView>
  </sheetViews>
  <sheetFormatPr defaultRowHeight="15"/>
  <cols>
    <col min="1" max="1" width="16.5" style="1" customWidth="1"/>
    <col min="2" max="2" width="38.875" style="1" customWidth="1"/>
    <col min="3" max="3" width="13.625" style="1" customWidth="1"/>
    <col min="4" max="4" width="9.625" style="1" customWidth="1"/>
    <col min="5" max="5" width="7" style="1" customWidth="1"/>
    <col min="6" max="6" width="13.625" style="1" customWidth="1"/>
    <col min="7" max="7" width="14.625" style="1" customWidth="1"/>
    <col min="8" max="10" width="6.625" style="1" customWidth="1"/>
    <col min="11" max="12" width="14.625" style="1" customWidth="1"/>
    <col min="13" max="16384" width="9" style="1"/>
  </cols>
  <sheetData>
    <row r="1" spans="1:12" ht="56.25" customHeight="1">
      <c r="A1" s="41" t="s">
        <v>14</v>
      </c>
      <c r="B1" s="42"/>
      <c r="C1" s="42"/>
      <c r="D1" s="42"/>
      <c r="E1" s="42"/>
      <c r="F1" s="42"/>
      <c r="G1" s="42"/>
      <c r="H1" s="42"/>
      <c r="I1" s="42"/>
      <c r="J1" s="42"/>
    </row>
    <row r="2" spans="1:12" ht="45" customHeight="1" thickBot="1">
      <c r="A2" s="43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3" spans="1:12" ht="24.95" customHeight="1">
      <c r="A3" s="5" t="s">
        <v>0</v>
      </c>
      <c r="B3" s="45" t="s">
        <v>26</v>
      </c>
      <c r="C3" s="46"/>
      <c r="D3" s="15" t="s">
        <v>9</v>
      </c>
      <c r="E3" s="47">
        <v>76014406</v>
      </c>
      <c r="F3" s="48"/>
      <c r="G3" s="16" t="s">
        <v>16</v>
      </c>
      <c r="H3" s="49" t="s">
        <v>17</v>
      </c>
      <c r="I3" s="50"/>
      <c r="J3" s="51"/>
      <c r="K3" s="93"/>
      <c r="L3" s="94"/>
    </row>
    <row r="4" spans="1:12" ht="24.95" customHeight="1">
      <c r="A4" s="6" t="s">
        <v>18</v>
      </c>
      <c r="B4" s="52"/>
      <c r="C4" s="53"/>
      <c r="D4" s="54"/>
      <c r="E4" s="55" t="s">
        <v>19</v>
      </c>
      <c r="F4" s="56"/>
      <c r="G4" s="57"/>
      <c r="H4" s="57"/>
      <c r="I4" s="57"/>
      <c r="J4" s="58"/>
      <c r="K4" s="93"/>
      <c r="L4" s="94"/>
    </row>
    <row r="5" spans="1:12" ht="24.95" customHeight="1" thickBot="1">
      <c r="A5" s="7" t="s">
        <v>7</v>
      </c>
      <c r="B5" s="59"/>
      <c r="C5" s="60"/>
      <c r="D5" s="60"/>
      <c r="E5" s="61" t="s">
        <v>10</v>
      </c>
      <c r="F5" s="62"/>
      <c r="G5" s="63">
        <f ca="1">TODAY()</f>
        <v>44455</v>
      </c>
      <c r="H5" s="63"/>
      <c r="I5" s="63"/>
      <c r="J5" s="64"/>
      <c r="K5" s="93"/>
      <c r="L5" s="94"/>
    </row>
    <row r="6" spans="1:12" ht="15.75" thickBot="1">
      <c r="A6" s="1" t="s">
        <v>1</v>
      </c>
    </row>
    <row r="7" spans="1:12" s="2" customFormat="1" ht="42.75" customHeight="1" thickBot="1">
      <c r="A7" s="68" t="s">
        <v>27</v>
      </c>
      <c r="B7" s="66"/>
      <c r="C7" s="69"/>
      <c r="D7" s="12" t="s">
        <v>2</v>
      </c>
      <c r="E7" s="12" t="s">
        <v>4</v>
      </c>
      <c r="F7" s="12" t="s">
        <v>3</v>
      </c>
      <c r="G7" s="12" t="s">
        <v>5</v>
      </c>
      <c r="H7" s="65" t="s">
        <v>30</v>
      </c>
      <c r="I7" s="66"/>
      <c r="J7" s="67"/>
      <c r="K7" s="21" t="s">
        <v>24</v>
      </c>
      <c r="L7" s="22" t="s">
        <v>25</v>
      </c>
    </row>
    <row r="8" spans="1:12" ht="24.95" customHeight="1">
      <c r="A8" s="70" t="s">
        <v>28</v>
      </c>
      <c r="B8" s="71"/>
      <c r="C8" s="72"/>
      <c r="D8" s="29">
        <v>1</v>
      </c>
      <c r="E8" s="25" t="s">
        <v>22</v>
      </c>
      <c r="F8" s="31">
        <v>61846</v>
      </c>
      <c r="G8" s="28">
        <v>61846</v>
      </c>
      <c r="H8" s="38"/>
      <c r="I8" s="39"/>
      <c r="J8" s="40"/>
      <c r="K8" s="32">
        <v>16000</v>
      </c>
      <c r="L8" s="23">
        <v>16000</v>
      </c>
    </row>
    <row r="9" spans="1:12" ht="24.95" customHeight="1">
      <c r="A9" s="35" t="s">
        <v>29</v>
      </c>
      <c r="B9" s="36"/>
      <c r="C9" s="37"/>
      <c r="D9" s="30"/>
      <c r="E9" s="26"/>
      <c r="F9" s="31"/>
      <c r="G9" s="28"/>
      <c r="H9" s="73"/>
      <c r="I9" s="74"/>
      <c r="J9" s="75"/>
      <c r="K9" s="32"/>
      <c r="L9" s="23"/>
    </row>
    <row r="10" spans="1:12" ht="24.95" customHeight="1">
      <c r="A10" s="35"/>
      <c r="B10" s="36"/>
      <c r="C10" s="37"/>
      <c r="D10" s="30"/>
      <c r="E10" s="26"/>
      <c r="F10" s="31"/>
      <c r="G10" s="28"/>
      <c r="H10" s="73"/>
      <c r="I10" s="74"/>
      <c r="J10" s="75"/>
      <c r="K10" s="32"/>
      <c r="L10" s="23"/>
    </row>
    <row r="11" spans="1:12" ht="24.95" customHeight="1">
      <c r="A11" s="35"/>
      <c r="B11" s="36"/>
      <c r="C11" s="37"/>
      <c r="D11" s="30"/>
      <c r="E11" s="27"/>
      <c r="F11" s="31"/>
      <c r="G11" s="28"/>
      <c r="H11" s="73"/>
      <c r="I11" s="74"/>
      <c r="J11" s="75"/>
      <c r="K11" s="32"/>
      <c r="L11" s="23"/>
    </row>
    <row r="12" spans="1:12" ht="24.95" customHeight="1">
      <c r="A12" s="35"/>
      <c r="B12" s="36"/>
      <c r="C12" s="37"/>
      <c r="D12" s="30"/>
      <c r="E12" s="26"/>
      <c r="F12" s="31"/>
      <c r="G12" s="28"/>
      <c r="H12" s="73"/>
      <c r="I12" s="74"/>
      <c r="J12" s="75"/>
      <c r="K12" s="32"/>
      <c r="L12" s="23"/>
    </row>
    <row r="13" spans="1:12" ht="24.95" customHeight="1">
      <c r="A13" s="35"/>
      <c r="B13" s="36"/>
      <c r="C13" s="37"/>
      <c r="D13" s="30"/>
      <c r="E13" s="26"/>
      <c r="F13" s="31"/>
      <c r="G13" s="28"/>
      <c r="H13" s="73"/>
      <c r="I13" s="74"/>
      <c r="J13" s="75"/>
      <c r="K13" s="32"/>
      <c r="L13" s="23"/>
    </row>
    <row r="14" spans="1:12" ht="24.95" customHeight="1">
      <c r="A14" s="35"/>
      <c r="B14" s="36"/>
      <c r="C14" s="37"/>
      <c r="D14" s="30"/>
      <c r="E14" s="26"/>
      <c r="F14" s="31"/>
      <c r="G14" s="28"/>
      <c r="H14" s="73"/>
      <c r="I14" s="74"/>
      <c r="J14" s="75"/>
      <c r="K14" s="32"/>
      <c r="L14" s="23"/>
    </row>
    <row r="15" spans="1:12" ht="24.95" customHeight="1">
      <c r="A15" s="35"/>
      <c r="B15" s="36"/>
      <c r="C15" s="37"/>
      <c r="D15" s="30"/>
      <c r="E15" s="26"/>
      <c r="F15" s="31"/>
      <c r="G15" s="28"/>
      <c r="H15" s="73"/>
      <c r="I15" s="74"/>
      <c r="J15" s="75"/>
      <c r="K15" s="32"/>
      <c r="L15" s="23"/>
    </row>
    <row r="16" spans="1:12" ht="24.95" customHeight="1">
      <c r="A16" s="35"/>
      <c r="B16" s="36"/>
      <c r="C16" s="37"/>
      <c r="D16" s="30"/>
      <c r="E16" s="26"/>
      <c r="F16" s="31"/>
      <c r="G16" s="28"/>
      <c r="H16" s="73"/>
      <c r="I16" s="74"/>
      <c r="J16" s="75"/>
      <c r="K16" s="32"/>
      <c r="L16" s="23"/>
    </row>
    <row r="17" spans="1:12" ht="24.95" customHeight="1">
      <c r="A17" s="35"/>
      <c r="B17" s="36"/>
      <c r="C17" s="37"/>
      <c r="D17" s="30"/>
      <c r="E17" s="26"/>
      <c r="F17" s="31"/>
      <c r="G17" s="28"/>
      <c r="H17" s="73"/>
      <c r="I17" s="74"/>
      <c r="J17" s="75"/>
      <c r="K17" s="32"/>
      <c r="L17" s="23"/>
    </row>
    <row r="18" spans="1:12" ht="24.95" customHeight="1">
      <c r="A18" s="35"/>
      <c r="B18" s="36"/>
      <c r="C18" s="37"/>
      <c r="D18" s="30"/>
      <c r="E18" s="26"/>
      <c r="F18" s="31"/>
      <c r="G18" s="28"/>
      <c r="H18" s="73"/>
      <c r="I18" s="74"/>
      <c r="J18" s="75"/>
      <c r="K18" s="32"/>
      <c r="L18" s="23"/>
    </row>
    <row r="19" spans="1:12" ht="24.95" customHeight="1">
      <c r="A19" s="35"/>
      <c r="B19" s="36"/>
      <c r="C19" s="37"/>
      <c r="D19" s="30"/>
      <c r="E19" s="26"/>
      <c r="F19" s="31"/>
      <c r="G19" s="28"/>
      <c r="H19" s="73"/>
      <c r="I19" s="74"/>
      <c r="J19" s="75"/>
      <c r="K19" s="32"/>
      <c r="L19" s="23"/>
    </row>
    <row r="20" spans="1:12" ht="24.95" customHeight="1">
      <c r="A20" s="35"/>
      <c r="B20" s="36"/>
      <c r="C20" s="37"/>
      <c r="D20" s="30"/>
      <c r="E20" s="26"/>
      <c r="F20" s="31"/>
      <c r="G20" s="28"/>
      <c r="H20" s="73"/>
      <c r="I20" s="74"/>
      <c r="J20" s="75"/>
      <c r="K20" s="32"/>
      <c r="L20" s="23"/>
    </row>
    <row r="21" spans="1:12" ht="24.95" customHeight="1">
      <c r="A21" s="35"/>
      <c r="B21" s="36"/>
      <c r="C21" s="37"/>
      <c r="D21" s="30"/>
      <c r="E21" s="26"/>
      <c r="F21" s="31"/>
      <c r="G21" s="28"/>
      <c r="H21" s="73"/>
      <c r="I21" s="74"/>
      <c r="J21" s="75"/>
      <c r="K21" s="32"/>
      <c r="L21" s="23"/>
    </row>
    <row r="22" spans="1:12" ht="24.95" customHeight="1">
      <c r="A22" s="35"/>
      <c r="B22" s="36"/>
      <c r="C22" s="37"/>
      <c r="D22" s="30"/>
      <c r="E22" s="26"/>
      <c r="F22" s="31"/>
      <c r="G22" s="28"/>
      <c r="H22" s="73"/>
      <c r="I22" s="74"/>
      <c r="J22" s="75"/>
      <c r="K22" s="32"/>
      <c r="L22" s="23"/>
    </row>
    <row r="23" spans="1:12" ht="24.95" customHeight="1">
      <c r="A23" s="35"/>
      <c r="B23" s="36"/>
      <c r="C23" s="37"/>
      <c r="D23" s="30"/>
      <c r="E23" s="26"/>
      <c r="F23" s="31"/>
      <c r="G23" s="28"/>
      <c r="H23" s="73"/>
      <c r="I23" s="74"/>
      <c r="J23" s="75"/>
      <c r="K23" s="32"/>
      <c r="L23" s="23"/>
    </row>
    <row r="24" spans="1:12" ht="24.95" customHeight="1">
      <c r="A24" s="35"/>
      <c r="B24" s="36"/>
      <c r="C24" s="37"/>
      <c r="D24" s="30"/>
      <c r="E24" s="26"/>
      <c r="F24" s="31"/>
      <c r="G24" s="28"/>
      <c r="H24" s="73"/>
      <c r="I24" s="74"/>
      <c r="J24" s="75"/>
      <c r="K24" s="32"/>
      <c r="L24" s="23"/>
    </row>
    <row r="25" spans="1:12" ht="24.95" customHeight="1">
      <c r="A25" s="35"/>
      <c r="B25" s="36"/>
      <c r="C25" s="37"/>
      <c r="D25" s="30"/>
      <c r="E25" s="26"/>
      <c r="F25" s="31"/>
      <c r="G25" s="28"/>
      <c r="H25" s="73"/>
      <c r="I25" s="74"/>
      <c r="J25" s="75"/>
      <c r="K25" s="32"/>
      <c r="L25" s="23"/>
    </row>
    <row r="26" spans="1:12" ht="24.95" customHeight="1">
      <c r="A26" s="35"/>
      <c r="B26" s="36"/>
      <c r="C26" s="37"/>
      <c r="D26" s="30"/>
      <c r="E26" s="26"/>
      <c r="F26" s="31"/>
      <c r="G26" s="28"/>
      <c r="H26" s="73"/>
      <c r="I26" s="74"/>
      <c r="J26" s="75"/>
      <c r="K26" s="32"/>
      <c r="L26" s="23"/>
    </row>
    <row r="27" spans="1:12" ht="24.95" customHeight="1">
      <c r="A27" s="35"/>
      <c r="B27" s="36"/>
      <c r="C27" s="37"/>
      <c r="D27" s="30"/>
      <c r="E27" s="26"/>
      <c r="F27" s="31"/>
      <c r="G27" s="28"/>
      <c r="H27" s="73"/>
      <c r="I27" s="74"/>
      <c r="J27" s="75"/>
      <c r="K27" s="32"/>
      <c r="L27" s="23"/>
    </row>
    <row r="28" spans="1:12" ht="24.95" customHeight="1">
      <c r="A28" s="8"/>
      <c r="B28" s="9"/>
      <c r="C28" s="9"/>
      <c r="D28" s="9"/>
      <c r="E28" s="20"/>
      <c r="F28" s="9"/>
      <c r="G28" s="9"/>
      <c r="H28" s="9"/>
      <c r="I28" s="9"/>
      <c r="J28" s="10"/>
    </row>
    <row r="29" spans="1:12" s="3" customFormat="1" ht="24.95" customHeight="1">
      <c r="A29" s="11" t="s">
        <v>6</v>
      </c>
      <c r="B29" s="14">
        <f>SUM($G$8:$G$27)</f>
        <v>61846</v>
      </c>
      <c r="C29" s="4" t="s">
        <v>12</v>
      </c>
      <c r="D29" s="82" t="s">
        <v>23</v>
      </c>
      <c r="E29" s="83"/>
      <c r="F29" s="83"/>
      <c r="G29" s="83"/>
      <c r="H29" s="83"/>
      <c r="I29" s="83"/>
      <c r="J29" s="84"/>
      <c r="L29" s="24">
        <f>SUM(L8:L28)</f>
        <v>16000</v>
      </c>
    </row>
    <row r="30" spans="1:12" s="3" customFormat="1" ht="24.95" customHeight="1">
      <c r="A30" s="11" t="s">
        <v>11</v>
      </c>
      <c r="B30" s="13">
        <f>B29*0.05</f>
        <v>3092.3</v>
      </c>
      <c r="C30" s="4"/>
      <c r="D30" s="85"/>
      <c r="E30" s="80"/>
      <c r="F30" s="80"/>
      <c r="G30" s="80"/>
      <c r="H30" s="80"/>
      <c r="I30" s="80"/>
      <c r="J30" s="86"/>
      <c r="L30" s="24">
        <f>L29*0.05</f>
        <v>800</v>
      </c>
    </row>
    <row r="31" spans="1:12" s="3" customFormat="1" ht="24.95" customHeight="1">
      <c r="A31" s="17" t="s">
        <v>20</v>
      </c>
      <c r="B31" s="18">
        <f>B29+B30</f>
        <v>64938.3</v>
      </c>
      <c r="C31" s="19" t="s">
        <v>8</v>
      </c>
      <c r="D31" s="87"/>
      <c r="E31" s="88"/>
      <c r="F31" s="88"/>
      <c r="G31" s="88"/>
      <c r="H31" s="88"/>
      <c r="I31" s="88"/>
      <c r="J31" s="89"/>
      <c r="L31" s="24">
        <f>SUM(L29:L30)</f>
        <v>16800</v>
      </c>
    </row>
    <row r="32" spans="1:12" s="3" customFormat="1" ht="24.95" customHeight="1" thickBot="1">
      <c r="K32" s="33" t="s">
        <v>31</v>
      </c>
      <c r="L32" s="34">
        <f>B31-L31</f>
        <v>48138.3</v>
      </c>
    </row>
    <row r="33" spans="1:12" s="3" customFormat="1" ht="29.25" customHeight="1" thickBot="1">
      <c r="A33" s="90" t="s">
        <v>13</v>
      </c>
      <c r="B33" s="91"/>
      <c r="C33" s="91"/>
      <c r="D33" s="91"/>
      <c r="E33" s="91"/>
      <c r="F33" s="91"/>
      <c r="G33" s="91"/>
      <c r="H33" s="91"/>
      <c r="I33" s="91"/>
      <c r="J33" s="92"/>
      <c r="K33" s="33" t="s">
        <v>32</v>
      </c>
      <c r="L33" s="34">
        <f>B29-L29</f>
        <v>45846</v>
      </c>
    </row>
    <row r="34" spans="1:12" s="3" customFormat="1" ht="18.75" thickBot="1">
      <c r="A34" s="76"/>
      <c r="B34" s="77"/>
      <c r="C34" s="77"/>
      <c r="D34" s="77"/>
      <c r="E34" s="77"/>
      <c r="F34" s="77"/>
      <c r="G34" s="77"/>
      <c r="H34" s="77"/>
      <c r="I34" s="77"/>
      <c r="J34" s="78"/>
    </row>
    <row r="35" spans="1:12" ht="15.75" thickBot="1">
      <c r="A35" s="76"/>
      <c r="B35" s="77"/>
      <c r="C35" s="77"/>
      <c r="D35" s="77"/>
      <c r="E35" s="77"/>
      <c r="F35" s="77"/>
      <c r="G35" s="77"/>
      <c r="H35" s="77"/>
      <c r="I35" s="77"/>
      <c r="J35" s="78"/>
    </row>
    <row r="36" spans="1:12" ht="15.75" thickBot="1">
      <c r="A36" s="76"/>
      <c r="B36" s="77"/>
      <c r="C36" s="77"/>
      <c r="D36" s="77"/>
      <c r="E36" s="77"/>
      <c r="F36" s="77"/>
      <c r="G36" s="77"/>
      <c r="H36" s="77"/>
      <c r="I36" s="77"/>
      <c r="J36" s="78"/>
    </row>
    <row r="37" spans="1:12" ht="15.75" thickBot="1">
      <c r="A37" s="76"/>
      <c r="B37" s="77"/>
      <c r="C37" s="77"/>
      <c r="D37" s="77"/>
      <c r="E37" s="77"/>
      <c r="F37" s="77"/>
      <c r="G37" s="77"/>
      <c r="H37" s="77"/>
      <c r="I37" s="77"/>
      <c r="J37" s="78"/>
    </row>
    <row r="38" spans="1:12" ht="15.75" thickBot="1">
      <c r="A38" s="76"/>
      <c r="B38" s="77"/>
      <c r="C38" s="77"/>
      <c r="D38" s="77"/>
      <c r="E38" s="77"/>
      <c r="F38" s="77"/>
      <c r="G38" s="77"/>
      <c r="H38" s="77"/>
      <c r="I38" s="77"/>
      <c r="J38" s="78"/>
    </row>
    <row r="39" spans="1:12" ht="15.75" thickBot="1">
      <c r="A39" s="76"/>
      <c r="B39" s="77"/>
      <c r="C39" s="77"/>
      <c r="D39" s="77"/>
      <c r="E39" s="77"/>
      <c r="F39" s="77"/>
      <c r="G39" s="77"/>
      <c r="H39" s="77"/>
      <c r="I39" s="77"/>
      <c r="J39" s="78"/>
    </row>
    <row r="40" spans="1:12" ht="15.75" thickBot="1">
      <c r="A40" s="76"/>
      <c r="B40" s="77"/>
      <c r="C40" s="77"/>
      <c r="D40" s="77"/>
      <c r="E40" s="77"/>
      <c r="F40" s="77"/>
      <c r="G40" s="77"/>
      <c r="H40" s="77"/>
      <c r="I40" s="77"/>
      <c r="J40" s="78"/>
    </row>
    <row r="41" spans="1:12" ht="15.75" thickBot="1">
      <c r="A41" s="76"/>
      <c r="B41" s="77"/>
      <c r="C41" s="77"/>
      <c r="D41" s="77"/>
      <c r="E41" s="77"/>
      <c r="F41" s="77"/>
      <c r="G41" s="77"/>
      <c r="H41" s="77"/>
      <c r="I41" s="77"/>
      <c r="J41" s="78"/>
    </row>
    <row r="42" spans="1:12" ht="15.75" thickBot="1">
      <c r="A42" s="76"/>
      <c r="B42" s="77"/>
      <c r="C42" s="77"/>
      <c r="D42" s="77"/>
      <c r="E42" s="77"/>
      <c r="F42" s="77"/>
      <c r="G42" s="77"/>
      <c r="H42" s="77"/>
      <c r="I42" s="77"/>
      <c r="J42" s="78"/>
    </row>
    <row r="43" spans="1:12" ht="15.75" thickBot="1">
      <c r="A43" s="76"/>
      <c r="B43" s="77"/>
      <c r="C43" s="77"/>
      <c r="D43" s="77"/>
      <c r="E43" s="77"/>
      <c r="F43" s="77"/>
      <c r="G43" s="77"/>
      <c r="H43" s="77"/>
      <c r="I43" s="77"/>
      <c r="J43" s="78"/>
    </row>
    <row r="44" spans="1:12" ht="15.75" thickBot="1">
      <c r="A44" s="76"/>
      <c r="B44" s="77"/>
      <c r="C44" s="77"/>
      <c r="D44" s="77"/>
      <c r="E44" s="77"/>
      <c r="F44" s="77"/>
      <c r="G44" s="77"/>
      <c r="H44" s="77"/>
      <c r="I44" s="77"/>
      <c r="J44" s="78"/>
    </row>
    <row r="45" spans="1:12" ht="15.75" thickBot="1">
      <c r="A45" s="76"/>
      <c r="B45" s="77"/>
      <c r="C45" s="77"/>
      <c r="D45" s="77"/>
      <c r="E45" s="77"/>
      <c r="F45" s="77"/>
      <c r="G45" s="77"/>
      <c r="H45" s="77"/>
      <c r="I45" s="77"/>
      <c r="J45" s="78"/>
    </row>
    <row r="46" spans="1:12" ht="30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</row>
    <row r="47" spans="1:12" ht="78" customHeight="1">
      <c r="A47" s="80" t="s">
        <v>21</v>
      </c>
      <c r="B47" s="81"/>
      <c r="C47" s="81"/>
      <c r="D47" s="81"/>
      <c r="E47" s="81"/>
      <c r="F47" s="81"/>
      <c r="G47" s="81"/>
      <c r="H47" s="81"/>
      <c r="I47" s="81"/>
      <c r="J47" s="81"/>
    </row>
    <row r="48" spans="1:12">
      <c r="A48" s="9"/>
      <c r="F48" s="9"/>
    </row>
  </sheetData>
  <mergeCells count="59">
    <mergeCell ref="K3:L5"/>
    <mergeCell ref="A46:J46"/>
    <mergeCell ref="A47:J47"/>
    <mergeCell ref="H26:J26"/>
    <mergeCell ref="H27:J27"/>
    <mergeCell ref="D29:J31"/>
    <mergeCell ref="A33:J33"/>
    <mergeCell ref="A26:C26"/>
    <mergeCell ref="A27:C27"/>
    <mergeCell ref="H25:J25"/>
    <mergeCell ref="A23:C23"/>
    <mergeCell ref="A24:C24"/>
    <mergeCell ref="A25:C25"/>
    <mergeCell ref="A34:J45"/>
    <mergeCell ref="H20:J20"/>
    <mergeCell ref="H21:J21"/>
    <mergeCell ref="H22:J22"/>
    <mergeCell ref="H23:J23"/>
    <mergeCell ref="H24:J24"/>
    <mergeCell ref="H19:J19"/>
    <mergeCell ref="H14:J14"/>
    <mergeCell ref="H15:J15"/>
    <mergeCell ref="H16:J16"/>
    <mergeCell ref="H17:J17"/>
    <mergeCell ref="H18:J18"/>
    <mergeCell ref="H9:J9"/>
    <mergeCell ref="H10:J10"/>
    <mergeCell ref="H11:J11"/>
    <mergeCell ref="H12:J12"/>
    <mergeCell ref="H13:J13"/>
    <mergeCell ref="H8:J8"/>
    <mergeCell ref="A1:J1"/>
    <mergeCell ref="A2:J2"/>
    <mergeCell ref="B3:C3"/>
    <mergeCell ref="E3:F3"/>
    <mergeCell ref="H3:J3"/>
    <mergeCell ref="B4:D4"/>
    <mergeCell ref="E4:F4"/>
    <mergeCell ref="G4:J4"/>
    <mergeCell ref="B5:D5"/>
    <mergeCell ref="E5:F5"/>
    <mergeCell ref="G5:J5"/>
    <mergeCell ref="H7:J7"/>
    <mergeCell ref="A7:C7"/>
    <mergeCell ref="A8:C8"/>
    <mergeCell ref="A9:C9"/>
    <mergeCell ref="A10:C10"/>
    <mergeCell ref="A11:C11"/>
    <mergeCell ref="A12:C12"/>
    <mergeCell ref="A13:C13"/>
    <mergeCell ref="A19:C19"/>
    <mergeCell ref="A20:C20"/>
    <mergeCell ref="A21:C21"/>
    <mergeCell ref="A22:C22"/>
    <mergeCell ref="A14:C14"/>
    <mergeCell ref="A15:C15"/>
    <mergeCell ref="A16:C16"/>
    <mergeCell ref="A17:C17"/>
    <mergeCell ref="A18:C18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啟廉</vt:lpstr>
      <vt:lpstr>啟廉!Print_Area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Windows 使用者</cp:lastModifiedBy>
  <cp:lastPrinted>2019-05-23T02:04:07Z</cp:lastPrinted>
  <dcterms:created xsi:type="dcterms:W3CDTF">2004-04-01T13:01:15Z</dcterms:created>
  <dcterms:modified xsi:type="dcterms:W3CDTF">2021-09-16T03:36:26Z</dcterms:modified>
</cp:coreProperties>
</file>