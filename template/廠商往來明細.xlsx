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820" yWindow="150" windowWidth="26295" windowHeight="12135"/>
  </bookViews>
  <sheets>
    <sheet name="啟廉" sheetId="5" r:id="rId1"/>
  </sheets>
  <definedNames>
    <definedName name="_xlnm.Print_Area" localSheetId="0">啟廉!$A$2:$J$17</definedName>
    <definedName name="_xlnm.Print_Titles" localSheetId="0">啟廉!$1:$1</definedName>
  </definedNames>
  <calcPr calcId="162913"/>
</workbook>
</file>

<file path=xl/calcChain.xml><?xml version="1.0" encoding="utf-8"?>
<calcChain xmlns="http://schemas.openxmlformats.org/spreadsheetml/2006/main">
  <c r="I12" i="5" l="1"/>
  <c r="H12" i="5"/>
  <c r="H14" i="5" s="1"/>
  <c r="C12" i="5"/>
  <c r="B12" i="5"/>
  <c r="D3" i="5"/>
  <c r="D4" i="5" l="1"/>
  <c r="D5" i="5" s="1"/>
  <c r="D6" i="5" s="1"/>
  <c r="D7" i="5" s="1"/>
  <c r="D8" i="5" s="1"/>
  <c r="D9" i="5" s="1"/>
  <c r="D10" i="5" s="1"/>
  <c r="D11" i="5" s="1"/>
  <c r="D12" i="5" l="1"/>
  <c r="I13" i="5"/>
  <c r="I14" i="5" s="1"/>
  <c r="J14" i="5" s="1"/>
</calcChain>
</file>

<file path=xl/sharedStrings.xml><?xml version="1.0" encoding="utf-8"?>
<sst xmlns="http://schemas.openxmlformats.org/spreadsheetml/2006/main" count="43" uniqueCount="36">
  <si>
    <t>日期</t>
  </si>
  <si>
    <t>已開發票</t>
  </si>
  <si>
    <t>未開發票</t>
  </si>
  <si>
    <t>可開發票餘額</t>
  </si>
  <si>
    <t>品名</t>
  </si>
  <si>
    <t>未給付金額</t>
    <phoneticPr fontId="4" type="noConversion"/>
  </si>
  <si>
    <t>繳、退金額</t>
    <phoneticPr fontId="4" type="noConversion"/>
  </si>
  <si>
    <t>小計</t>
    <phoneticPr fontId="4" type="noConversion"/>
  </si>
  <si>
    <t>合計</t>
    <phoneticPr fontId="4" type="noConversion"/>
  </si>
  <si>
    <t>學校已付金額</t>
    <phoneticPr fontId="4" type="noConversion"/>
  </si>
  <si>
    <t>發票號碼</t>
    <phoneticPr fontId="4" type="noConversion"/>
  </si>
  <si>
    <t>AX01563803</t>
  </si>
  <si>
    <t>聯單</t>
    <phoneticPr fontId="4" type="noConversion"/>
  </si>
  <si>
    <t>二聯</t>
    <phoneticPr fontId="4" type="noConversion"/>
  </si>
  <si>
    <t>VL01644304</t>
    <phoneticPr fontId="4" type="noConversion"/>
  </si>
  <si>
    <t>匯費30</t>
    <phoneticPr fontId="4" type="noConversion"/>
  </si>
  <si>
    <t>二聯</t>
    <phoneticPr fontId="4" type="noConversion"/>
  </si>
  <si>
    <t>108/11/29的發票高科大撥款-啟廉-1484-電腦耗材</t>
    <phoneticPr fontId="4" type="noConversion"/>
  </si>
  <si>
    <t>AX01563811</t>
    <phoneticPr fontId="4" type="noConversion"/>
  </si>
  <si>
    <t>二聯</t>
    <phoneticPr fontId="4" type="noConversion"/>
  </si>
  <si>
    <t>U01987566</t>
    <phoneticPr fontId="4" type="noConversion"/>
  </si>
  <si>
    <t>三聯</t>
    <phoneticPr fontId="4" type="noConversion"/>
  </si>
  <si>
    <t>TP01626772</t>
    <phoneticPr fontId="4" type="noConversion"/>
  </si>
  <si>
    <t>VL01644301</t>
  </si>
  <si>
    <t>AX01563803</t>
    <phoneticPr fontId="4" type="noConversion"/>
  </si>
  <si>
    <t>三聯</t>
    <phoneticPr fontId="4" type="noConversion"/>
  </si>
  <si>
    <t>108/11/15的發票高科大撥款-啟廉-1484-電腦耗材</t>
    <phoneticPr fontId="4" type="noConversion"/>
  </si>
  <si>
    <t>108/10/31的發票高科大撥款-啟廉-1484-電腦耗材</t>
    <phoneticPr fontId="4" type="noConversion"/>
  </si>
  <si>
    <t>109/06/03的發票高科大撥款-啟廉-1489-電腦耗材</t>
    <phoneticPr fontId="4" type="noConversion"/>
  </si>
  <si>
    <t>109/05/08的發票高科大撥款-啟廉-1621-印表機</t>
    <phoneticPr fontId="4" type="noConversion"/>
  </si>
  <si>
    <t>啟廉-1489-電腦耗材</t>
    <phoneticPr fontId="4" type="noConversion"/>
  </si>
  <si>
    <t>啟廉-1484-電腦耗材</t>
    <phoneticPr fontId="4" type="noConversion"/>
  </si>
  <si>
    <t>啟廉-1621-印表機</t>
    <phoneticPr fontId="4" type="noConversion"/>
  </si>
  <si>
    <t>發票稅額</t>
    <phoneticPr fontId="4" type="noConversion"/>
  </si>
  <si>
    <t>備註</t>
    <phoneticPr fontId="4" type="noConversion"/>
  </si>
  <si>
    <t>溢開發票給付稅額給付稅額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</si>
</sst>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;[Red]\-&quot;$&quot;#,##0"/>
    <numFmt numFmtId="177" formatCode="yyyy&quot;年&quot;m&quot;月&quot;d&quot;日&quot;;@"/>
    <numFmt numFmtId="179" formatCode="&quot;$&quot;#,##0"/>
    <numFmt numFmtId="181" formatCode="#,##0_ ;[Red]\-#,##0\ "/>
    <numFmt numFmtId="184" formatCode="#,##0_ "/>
    <numFmt numFmtId="185" formatCode="#,##0.00_ "/>
  </numFmts>
  <fonts count="9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5">
    <xf numFmtId="0" fontId="0" fillId="0" borderId="0" xfId="0"/>
    <xf numFmtId="177" fontId="0" fillId="0" borderId="0" xfId="0" applyNumberFormat="1" applyAlignment="1"/>
    <xf numFmtId="0" fontId="3" fillId="3" borderId="0" xfId="1" applyFill="1" applyAlignment="1">
      <alignment horizontal="center" vertical="center"/>
    </xf>
    <xf numFmtId="0" fontId="3" fillId="3" borderId="0" xfId="1" applyFill="1" applyAlignment="1">
      <alignment horizontal="left" vertical="center"/>
    </xf>
    <xf numFmtId="0" fontId="2" fillId="3" borderId="0" xfId="1" applyFont="1" applyFill="1" applyAlignment="1">
      <alignment horizontal="center" vertical="center"/>
    </xf>
    <xf numFmtId="177" fontId="3" fillId="3" borderId="1" xfId="1" applyNumberForma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3" fillId="3" borderId="1" xfId="1" applyFill="1" applyBorder="1" applyAlignment="1">
      <alignment horizontal="left" vertical="center"/>
    </xf>
    <xf numFmtId="177" fontId="3" fillId="3" borderId="0" xfId="1" applyNumberFormat="1" applyFill="1" applyAlignment="1">
      <alignment vertical="center"/>
    </xf>
    <xf numFmtId="0" fontId="0" fillId="0" borderId="2" xfId="0" applyBorder="1"/>
    <xf numFmtId="177" fontId="0" fillId="0" borderId="2" xfId="0" applyNumberFormat="1" applyBorder="1" applyAlignment="1"/>
    <xf numFmtId="0" fontId="0" fillId="0" borderId="0" xfId="0" applyAlignment="1">
      <alignment wrapText="1"/>
    </xf>
    <xf numFmtId="181" fontId="0" fillId="0" borderId="2" xfId="0" applyNumberFormat="1" applyFill="1" applyBorder="1"/>
    <xf numFmtId="3" fontId="0" fillId="0" borderId="0" xfId="0" applyNumberFormat="1"/>
    <xf numFmtId="6" fontId="0" fillId="0" borderId="2" xfId="0" applyNumberFormat="1" applyBorder="1" applyAlignment="1">
      <alignment wrapText="1"/>
    </xf>
    <xf numFmtId="177" fontId="0" fillId="0" borderId="2" xfId="0" applyNumberFormat="1" applyFill="1" applyBorder="1" applyAlignment="1"/>
    <xf numFmtId="184" fontId="0" fillId="0" borderId="2" xfId="0" applyNumberFormat="1" applyFill="1" applyBorder="1" applyAlignment="1">
      <alignment wrapText="1"/>
    </xf>
    <xf numFmtId="0" fontId="6" fillId="0" borderId="0" xfId="0" applyFont="1"/>
    <xf numFmtId="0" fontId="3" fillId="3" borderId="1" xfId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181" fontId="0" fillId="4" borderId="2" xfId="0" applyNumberFormat="1" applyFill="1" applyBorder="1"/>
    <xf numFmtId="0" fontId="8" fillId="0" borderId="2" xfId="0" applyFont="1" applyFill="1" applyBorder="1" applyAlignment="1">
      <alignment horizontal="left" wrapText="1"/>
    </xf>
    <xf numFmtId="184" fontId="0" fillId="5" borderId="2" xfId="0" applyNumberFormat="1" applyFont="1" applyFill="1" applyBorder="1" applyAlignment="1">
      <alignment wrapText="1"/>
    </xf>
    <xf numFmtId="0" fontId="0" fillId="0" borderId="2" xfId="0" applyFill="1" applyBorder="1" applyAlignment="1">
      <alignment vertical="top"/>
    </xf>
    <xf numFmtId="0" fontId="8" fillId="0" borderId="2" xfId="0" applyFont="1" applyBorder="1" applyAlignment="1">
      <alignment horizontal="left" vertical="top"/>
    </xf>
    <xf numFmtId="177" fontId="0" fillId="0" borderId="4" xfId="0" applyNumberFormat="1" applyBorder="1" applyAlignment="1">
      <alignment wrapText="1"/>
    </xf>
    <xf numFmtId="179" fontId="0" fillId="0" borderId="4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top" wrapText="1"/>
    </xf>
    <xf numFmtId="184" fontId="0" fillId="0" borderId="4" xfId="0" applyNumberFormat="1" applyBorder="1" applyAlignment="1">
      <alignment wrapText="1"/>
    </xf>
    <xf numFmtId="179" fontId="7" fillId="2" borderId="4" xfId="0" applyNumberFormat="1" applyFont="1" applyFill="1" applyBorder="1" applyAlignment="1">
      <alignment wrapText="1"/>
    </xf>
    <xf numFmtId="0" fontId="8" fillId="0" borderId="0" xfId="0" applyFont="1" applyFill="1" applyBorder="1" applyAlignment="1">
      <alignment horizontal="left" wrapText="1"/>
    </xf>
    <xf numFmtId="6" fontId="0" fillId="0" borderId="6" xfId="0" applyNumberFormat="1" applyBorder="1" applyAlignment="1">
      <alignment wrapText="1"/>
    </xf>
    <xf numFmtId="177" fontId="0" fillId="0" borderId="5" xfId="0" applyNumberFormat="1" applyBorder="1" applyAlignment="1">
      <alignment wrapText="1"/>
    </xf>
    <xf numFmtId="179" fontId="0" fillId="0" borderId="5" xfId="0" applyNumberFormat="1" applyBorder="1" applyAlignment="1">
      <alignment wrapText="1"/>
    </xf>
    <xf numFmtId="0" fontId="0" fillId="0" borderId="5" xfId="0" applyBorder="1" applyAlignment="1">
      <alignment vertical="top" wrapText="1"/>
    </xf>
    <xf numFmtId="177" fontId="0" fillId="0" borderId="6" xfId="0" applyNumberFormat="1" applyBorder="1" applyAlignment="1"/>
    <xf numFmtId="181" fontId="0" fillId="0" borderId="6" xfId="0" applyNumberFormat="1" applyFill="1" applyBorder="1"/>
    <xf numFmtId="184" fontId="0" fillId="0" borderId="6" xfId="0" applyNumberFormat="1" applyFill="1" applyBorder="1" applyAlignment="1">
      <alignment wrapText="1"/>
    </xf>
    <xf numFmtId="0" fontId="0" fillId="0" borderId="6" xfId="0" applyBorder="1"/>
    <xf numFmtId="177" fontId="0" fillId="0" borderId="7" xfId="0" applyNumberFormat="1" applyBorder="1" applyAlignment="1">
      <alignment wrapText="1"/>
    </xf>
    <xf numFmtId="6" fontId="0" fillId="0" borderId="7" xfId="0" applyNumberFormat="1" applyFill="1" applyBorder="1"/>
    <xf numFmtId="6" fontId="0" fillId="0" borderId="7" xfId="0" applyNumberFormat="1" applyBorder="1"/>
    <xf numFmtId="6" fontId="0" fillId="0" borderId="7" xfId="0" applyNumberFormat="1" applyBorder="1" applyAlignment="1">
      <alignment wrapText="1"/>
    </xf>
    <xf numFmtId="0" fontId="6" fillId="0" borderId="7" xfId="0" applyFont="1" applyBorder="1" applyAlignment="1">
      <alignment vertical="top" wrapText="1"/>
    </xf>
    <xf numFmtId="0" fontId="0" fillId="0" borderId="7" xfId="0" applyBorder="1" applyAlignment="1">
      <alignment wrapText="1"/>
    </xf>
    <xf numFmtId="3" fontId="6" fillId="0" borderId="7" xfId="0" applyNumberFormat="1" applyFont="1" applyBorder="1"/>
    <xf numFmtId="184" fontId="0" fillId="0" borderId="7" xfId="0" applyNumberFormat="1" applyBorder="1" applyAlignment="1">
      <alignment wrapText="1"/>
    </xf>
    <xf numFmtId="0" fontId="0" fillId="0" borderId="6" xfId="0" applyFill="1" applyBorder="1" applyAlignment="1">
      <alignment vertical="top"/>
    </xf>
    <xf numFmtId="184" fontId="0" fillId="5" borderId="6" xfId="0" applyNumberFormat="1" applyFont="1" applyFill="1" applyBorder="1" applyAlignment="1">
      <alignment wrapText="1"/>
    </xf>
    <xf numFmtId="6" fontId="0" fillId="0" borderId="5" xfId="0" applyNumberFormat="1" applyBorder="1" applyAlignment="1">
      <alignment wrapText="1"/>
    </xf>
    <xf numFmtId="177" fontId="6" fillId="0" borderId="3" xfId="0" applyNumberFormat="1" applyFont="1" applyBorder="1" applyAlignment="1">
      <alignment horizontal="left" wrapText="1"/>
    </xf>
    <xf numFmtId="185" fontId="0" fillId="0" borderId="7" xfId="0" applyNumberFormat="1" applyBorder="1" applyAlignment="1">
      <alignment horizontal="center" vertical="center" wrapText="1"/>
    </xf>
    <xf numFmtId="179" fontId="0" fillId="2" borderId="5" xfId="0" applyNumberForma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colors>
    <mruColors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M15"/>
  <sheetViews>
    <sheetView tabSelected="1" zoomScale="80" zoomScaleNormal="80" workbookViewId="0">
      <pane ySplit="1" topLeftCell="A2" activePane="bottomLeft" state="frozen"/>
      <selection pane="bottomLeft" activeCell="I22" sqref="I22"/>
    </sheetView>
  </sheetViews>
  <sheetFormatPr defaultRowHeight="16.5" x14ac:dyDescent="0.25"/>
  <cols>
    <col min="1" max="1" width="16.125" style="1" bestFit="1" customWidth="1"/>
    <col min="2" max="3" width="9.625" bestFit="1" customWidth="1"/>
    <col min="4" max="4" width="13.875" bestFit="1" customWidth="1"/>
    <col min="5" max="5" width="80.875" customWidth="1"/>
    <col min="6" max="6" width="15.125" customWidth="1"/>
    <col min="7" max="7" width="8.875" customWidth="1"/>
    <col min="8" max="8" width="14.5" customWidth="1"/>
    <col min="9" max="9" width="11.75" bestFit="1" customWidth="1"/>
    <col min="10" max="10" width="11.625" bestFit="1" customWidth="1"/>
    <col min="11" max="11" width="13.75" customWidth="1"/>
  </cols>
  <sheetData>
    <row r="1" spans="1:13" ht="24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54" t="s">
        <v>10</v>
      </c>
      <c r="G1" s="54" t="s">
        <v>12</v>
      </c>
      <c r="H1" s="18" t="s">
        <v>9</v>
      </c>
      <c r="I1" s="18" t="s">
        <v>5</v>
      </c>
      <c r="J1" s="18" t="s">
        <v>6</v>
      </c>
      <c r="K1" s="18" t="s">
        <v>34</v>
      </c>
    </row>
    <row r="2" spans="1:13" ht="4.5" customHeight="1" thickTop="1" x14ac:dyDescent="0.25">
      <c r="A2" s="8"/>
      <c r="B2" s="2"/>
      <c r="C2" s="2"/>
      <c r="D2" s="2"/>
      <c r="E2" s="3"/>
      <c r="F2" s="3"/>
      <c r="G2" s="3"/>
      <c r="H2" s="4"/>
      <c r="I2" s="2"/>
      <c r="J2" s="2"/>
      <c r="K2" s="2"/>
    </row>
    <row r="3" spans="1:13" x14ac:dyDescent="0.25">
      <c r="A3" s="10">
        <v>43959</v>
      </c>
      <c r="B3" s="20">
        <v>80640</v>
      </c>
      <c r="C3" s="12"/>
      <c r="D3" s="14">
        <f t="shared" ref="D3:D11" si="0">(C3+D2)-B3</f>
        <v>-80640</v>
      </c>
      <c r="E3" s="23" t="s">
        <v>32</v>
      </c>
      <c r="F3" s="23" t="s">
        <v>11</v>
      </c>
      <c r="G3" s="23" t="s">
        <v>13</v>
      </c>
      <c r="H3" s="16"/>
      <c r="I3" s="16"/>
      <c r="J3" s="9"/>
      <c r="K3" s="9"/>
    </row>
    <row r="4" spans="1:13" x14ac:dyDescent="0.25">
      <c r="A4" s="10">
        <v>43963</v>
      </c>
      <c r="B4" s="12"/>
      <c r="C4" s="12"/>
      <c r="D4" s="14">
        <f t="shared" si="0"/>
        <v>-80640</v>
      </c>
      <c r="E4" s="23" t="s">
        <v>17</v>
      </c>
      <c r="F4" s="23" t="s">
        <v>14</v>
      </c>
      <c r="G4" s="23" t="s">
        <v>16</v>
      </c>
      <c r="H4" s="22">
        <v>33170</v>
      </c>
      <c r="I4" s="16"/>
      <c r="J4" s="9"/>
      <c r="K4" s="9" t="s">
        <v>15</v>
      </c>
    </row>
    <row r="5" spans="1:13" x14ac:dyDescent="0.25">
      <c r="A5" s="10">
        <v>43985</v>
      </c>
      <c r="B5" s="20">
        <v>15000</v>
      </c>
      <c r="C5" s="12"/>
      <c r="D5" s="14">
        <f t="shared" si="0"/>
        <v>-95640</v>
      </c>
      <c r="E5" s="23" t="s">
        <v>30</v>
      </c>
      <c r="F5" s="23" t="s">
        <v>18</v>
      </c>
      <c r="G5" s="23" t="s">
        <v>19</v>
      </c>
      <c r="H5" s="16"/>
      <c r="I5" s="16"/>
      <c r="J5" s="9"/>
      <c r="K5" s="9"/>
    </row>
    <row r="6" spans="1:13" x14ac:dyDescent="0.25">
      <c r="A6" s="10">
        <v>43986</v>
      </c>
      <c r="B6" s="12"/>
      <c r="C6" s="12">
        <v>2350</v>
      </c>
      <c r="D6" s="14">
        <f t="shared" si="0"/>
        <v>-93290</v>
      </c>
      <c r="E6" s="21" t="s">
        <v>31</v>
      </c>
      <c r="F6" s="21"/>
      <c r="G6" s="21"/>
      <c r="H6" s="16"/>
      <c r="I6" s="16">
        <v>2350</v>
      </c>
      <c r="J6" s="9"/>
      <c r="K6" s="9"/>
    </row>
    <row r="7" spans="1:13" x14ac:dyDescent="0.25">
      <c r="A7" s="10">
        <v>43990</v>
      </c>
      <c r="B7" s="12">
        <v>6500</v>
      </c>
      <c r="C7" s="12"/>
      <c r="D7" s="14">
        <f t="shared" si="0"/>
        <v>-99790</v>
      </c>
      <c r="E7" s="31" t="s">
        <v>31</v>
      </c>
      <c r="F7" s="21" t="s">
        <v>20</v>
      </c>
      <c r="G7" s="21" t="s">
        <v>21</v>
      </c>
      <c r="H7" s="16"/>
      <c r="I7" s="16"/>
      <c r="J7" s="9"/>
      <c r="K7" s="9" t="s">
        <v>15</v>
      </c>
    </row>
    <row r="8" spans="1:13" x14ac:dyDescent="0.25">
      <c r="A8" s="10">
        <v>43992</v>
      </c>
      <c r="B8" s="12"/>
      <c r="C8" s="12"/>
      <c r="D8" s="14">
        <f t="shared" si="0"/>
        <v>-99790</v>
      </c>
      <c r="E8" s="24" t="s">
        <v>27</v>
      </c>
      <c r="F8" s="24" t="s">
        <v>22</v>
      </c>
      <c r="G8" s="24" t="s">
        <v>19</v>
      </c>
      <c r="H8" s="22">
        <v>18970</v>
      </c>
      <c r="I8" s="16"/>
      <c r="J8" s="9"/>
      <c r="K8" s="9"/>
    </row>
    <row r="9" spans="1:13" x14ac:dyDescent="0.25">
      <c r="A9" s="15">
        <v>43992</v>
      </c>
      <c r="B9" s="12"/>
      <c r="C9" s="12"/>
      <c r="D9" s="14">
        <f t="shared" si="0"/>
        <v>-99790</v>
      </c>
      <c r="E9" s="24" t="s">
        <v>26</v>
      </c>
      <c r="F9" s="24" t="s">
        <v>23</v>
      </c>
      <c r="G9" s="24" t="s">
        <v>19</v>
      </c>
      <c r="H9" s="22">
        <v>35000</v>
      </c>
      <c r="I9" s="16"/>
      <c r="J9" s="9"/>
      <c r="K9" s="9"/>
    </row>
    <row r="10" spans="1:13" x14ac:dyDescent="0.25">
      <c r="A10" s="10">
        <v>44001</v>
      </c>
      <c r="B10" s="12"/>
      <c r="C10" s="12"/>
      <c r="D10" s="14">
        <f t="shared" si="0"/>
        <v>-99790</v>
      </c>
      <c r="E10" s="23" t="s">
        <v>28</v>
      </c>
      <c r="F10" s="23" t="s">
        <v>18</v>
      </c>
      <c r="G10" s="24" t="s">
        <v>19</v>
      </c>
      <c r="H10" s="22">
        <v>14970</v>
      </c>
      <c r="I10" s="16"/>
      <c r="J10" s="9"/>
      <c r="K10" s="9" t="s">
        <v>15</v>
      </c>
    </row>
    <row r="11" spans="1:13" ht="17.25" thickBot="1" x14ac:dyDescent="0.3">
      <c r="A11" s="36">
        <v>44004</v>
      </c>
      <c r="B11" s="37"/>
      <c r="C11" s="37"/>
      <c r="D11" s="32">
        <f t="shared" si="0"/>
        <v>-99790</v>
      </c>
      <c r="E11" s="48" t="s">
        <v>29</v>
      </c>
      <c r="F11" s="48" t="s">
        <v>24</v>
      </c>
      <c r="G11" s="48" t="s">
        <v>25</v>
      </c>
      <c r="H11" s="49">
        <v>80610</v>
      </c>
      <c r="I11" s="38"/>
      <c r="J11" s="39"/>
      <c r="K11" s="39"/>
    </row>
    <row r="12" spans="1:13" s="11" customFormat="1" ht="17.25" thickTop="1" x14ac:dyDescent="0.25">
      <c r="A12" s="33" t="s">
        <v>7</v>
      </c>
      <c r="B12" s="34">
        <f>SUM(B3:B11)</f>
        <v>102140</v>
      </c>
      <c r="C12" s="34">
        <f>SUM(C3:C11)</f>
        <v>2350</v>
      </c>
      <c r="D12" s="50">
        <f>D11</f>
        <v>-99790</v>
      </c>
      <c r="E12" s="35"/>
      <c r="F12" s="35"/>
      <c r="G12" s="35"/>
      <c r="H12" s="34">
        <f>SUM(H3:H11)</f>
        <v>182720</v>
      </c>
      <c r="I12" s="34">
        <f>SUM(I3:I11)</f>
        <v>2350</v>
      </c>
      <c r="J12" s="34"/>
      <c r="K12" s="53" t="s">
        <v>33</v>
      </c>
    </row>
    <row r="13" spans="1:13" s="11" customFormat="1" ht="17.25" thickBot="1" x14ac:dyDescent="0.3">
      <c r="A13" s="40"/>
      <c r="B13" s="41"/>
      <c r="C13" s="42"/>
      <c r="D13" s="43"/>
      <c r="E13" s="44" t="s">
        <v>35</v>
      </c>
      <c r="F13" s="44"/>
      <c r="G13" s="44"/>
      <c r="H13" s="45"/>
      <c r="I13" s="46">
        <f>ABS((D11/1.05)*K13)</f>
        <v>7603.0476190476193</v>
      </c>
      <c r="J13" s="47"/>
      <c r="K13" s="52">
        <v>0.08</v>
      </c>
      <c r="L13" s="13"/>
      <c r="M13" s="19"/>
    </row>
    <row r="14" spans="1:13" s="11" customFormat="1" ht="17.25" thickTop="1" x14ac:dyDescent="0.25">
      <c r="A14" s="25" t="s">
        <v>8</v>
      </c>
      <c r="B14" s="29"/>
      <c r="C14" s="29"/>
      <c r="D14" s="27"/>
      <c r="E14" s="28"/>
      <c r="F14" s="28"/>
      <c r="G14" s="28"/>
      <c r="H14" s="26">
        <f>SUM(H12)</f>
        <v>182720</v>
      </c>
      <c r="I14" s="26">
        <f>SUM(I12:I13)</f>
        <v>9953.0476190476184</v>
      </c>
      <c r="J14" s="30">
        <f>H14-I14</f>
        <v>172766.95238095237</v>
      </c>
      <c r="K14" s="17"/>
    </row>
    <row r="15" spans="1:13" ht="37.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</row>
  </sheetData>
  <mergeCells count="1">
    <mergeCell ref="A15:J1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啟廉</vt:lpstr>
      <vt:lpstr>啟廉!Print_Area</vt:lpstr>
      <vt:lpstr>啟廉!Print_Titles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2020-07-22T07:37:22Z</dcterms:modified>
</cp:coreProperties>
</file>